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C:\Users\BIM2456\Documents\Visual Studio 2017\Projects\AHE RPA\Automated Processes\Credit_Life_Insurance_Calculation\ExcelDocuments\"/>
    </mc:Choice>
  </mc:AlternateContent>
  <bookViews>
    <workbookView xWindow="0" yWindow="0" windowWidth="28800" windowHeight="11100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tarife_parametreleri!$A$2:$S$86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<sst xmlns="http://schemas.openxmlformats.org/spreadsheetml/2006/main" count="989" uniqueCount="134">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</sst>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₺_-;\-* #,##0.00\ _₺_-;_-* &quot;-&quot;??\ _₺_-;_-@_-"/>
    <numFmt numFmtId="164" formatCode="0.00000"/>
    <numFmt numFmtId="165" formatCode="0.000000_)"/>
    <numFmt numFmtId="166" formatCode="#,##0.0000"/>
    <numFmt numFmtId="167" formatCode="#,##0.0000000"/>
    <numFmt numFmtId="168" formatCode="0.0000000"/>
    <numFmt numFmtId="169" formatCode="_-* #,##0.0000\ _₺_-;\-* #,##0.0000\ _₺_-;_-* &quot;-&quot;??\ _₺_-;_-@_-"/>
  </numFmts>
  <fonts count="21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4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7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8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8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43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69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57" t="s">
        <v>85</v>
      </c>
      <c r="B1" s="58"/>
      <c r="D1" s="57" t="s">
        <v>81</v>
      </c>
      <c r="E1" s="58"/>
    </row>
    <row r="2" spans="1:13" ht="15.75" thickBot="1" x14ac:dyDescent="0.3">
      <c r="A2" s="32" t="s">
        <v>12</v>
      </c>
      <c r="B2" s="43">
        <v>2147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65.06</v>
      </c>
      <c r="F3" s="11">
        <f>E3/12</f>
        <v>5.4216666666666669</v>
      </c>
    </row>
    <row r="4" spans="1:13" x14ac:dyDescent="0.25">
      <c r="A4" s="32" t="s">
        <v>34</v>
      </c>
      <c r="B4" s="44">
        <v>43276</v>
      </c>
      <c r="C4" s="5"/>
      <c r="D4" s="32" t="s">
        <v>83</v>
      </c>
      <c r="E4" s="11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210.55</v>
      </c>
      <c r="F4" s="11">
        <f>E4/12</f>
        <v>17.545833333333334</v>
      </c>
      <c r="L4" s="47"/>
      <c r="M4" s="48"/>
    </row>
    <row r="5" spans="1:13" x14ac:dyDescent="0.25">
      <c r="A5" s="32" t="s">
        <v>35</v>
      </c>
      <c r="B5" s="44">
        <v>16650</v>
      </c>
      <c r="C5" s="6"/>
      <c r="D5" s="32" t="s">
        <v>107</v>
      </c>
      <c r="E5" s="11">
        <f>ROUND((E3/12)/(1-umo-gpo),2)</f>
        <v>17.55</v>
      </c>
      <c r="F5" s="11">
        <f t="shared" ref="F5:F8" si="0">E5/12</f>
        <v>1.4625000000000001</v>
      </c>
      <c r="H5" s="6"/>
    </row>
    <row r="6" spans="1:13" x14ac:dyDescent="0.25">
      <c r="A6" s="32" t="s">
        <v>28</v>
      </c>
      <c r="B6" s="43">
        <v>10</v>
      </c>
      <c r="C6" s="6"/>
      <c r="D6" s="32" t="s">
        <v>38</v>
      </c>
      <c r="E6" s="11">
        <f>E4*umo</f>
        <v>52.637500000000003</v>
      </c>
      <c r="F6" s="11">
        <f t="shared" si="0"/>
        <v>4.3864583333333336</v>
      </c>
      <c r="H6" s="6"/>
    </row>
    <row r="7" spans="1:13" x14ac:dyDescent="0.25">
      <c r="A7" s="32" t="s">
        <v>29</v>
      </c>
      <c r="B7" s="45">
        <v>20000</v>
      </c>
      <c r="C7" s="6"/>
      <c r="D7" s="32" t="s">
        <v>39</v>
      </c>
      <c r="E7" s="11">
        <f>E4*gpo</f>
        <v>92.852550000000008</v>
      </c>
      <c r="F7" s="11">
        <f t="shared" si="0"/>
        <v>7.7377125000000007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>
        <f>ROUND(E4*B13/B12,2)</f>
        <v>552</v>
      </c>
      <c r="F8" s="11">
        <f t="shared" si="0"/>
        <v>46</v>
      </c>
      <c r="G8" s="9"/>
      <c r="H8" s="6"/>
    </row>
    <row r="9" spans="1:13" x14ac:dyDescent="0.25">
      <c r="A9" s="32" t="s">
        <v>33</v>
      </c>
      <c r="B9" s="34">
        <f>EDATE(B4,B6)</f>
        <v>43580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304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797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57" t="s">
        <v>80</v>
      </c>
      <c r="B17" s="58"/>
      <c r="D17" s="6"/>
      <c r="E17" s="6"/>
      <c r="F17" s="6"/>
      <c r="G17" s="6"/>
      <c r="H17" s="6"/>
    </row>
    <row r="18" spans="1:8" x14ac:dyDescent="0.25">
      <c r="A18" s="32" t="s">
        <v>31</v>
      </c>
      <c r="B18" t="str">
        <f>VLOOKUP(tarife_no,tarife_parametreleri,15,FALSE)</f>
        <v>H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str">
        <f>VLOOKUP(tarife_no,tarife_parametreleri,10,FALSE)</f>
        <v>ORTALAMA YAŞ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>
        <f>VLOOKUP(tarife_no,tarife_parametreleri!A:Q,7,FALSE)</f>
        <v>0.04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str">
        <f>VLOOKUP(tarife_no,tarife_parametreleri,5,FALSE)</f>
        <v>CSO1980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str">
        <f>VLOOKUP(tarife_no,tarife_parametreleri,6,FALSE)</f>
        <v>karma</v>
      </c>
    </row>
    <row r="23" spans="1:8" x14ac:dyDescent="0.25">
      <c r="A23" s="32" t="s">
        <v>37</v>
      </c>
      <c r="B23" s="5">
        <f>IF(B18="serbest",B11,IF(B19="GERÇEK YAŞ",IF(B27&gt;B28,YEAR(B4)-YEAR(B5)+1,YEAR(B4)-YEAR(B5)),VLOOKUP(B2,tarife_parametreleri!1:1048576,MATCH(YEAR(police_baslangic_tarihi),tarife_parametreleri!$2:$2,0),FALSE)))</f>
        <v>45</v>
      </c>
    </row>
    <row r="24" spans="1:8" x14ac:dyDescent="0.25">
      <c r="A24" s="32" t="s">
        <v>38</v>
      </c>
      <c r="B24" s="49">
        <f>VLOOKUP(tarife_no,tarife_parametreleri,8,FALSE)</f>
        <v>0.25</v>
      </c>
    </row>
    <row r="25" spans="1:8" x14ac:dyDescent="0.25">
      <c r="A25" s="32" t="s">
        <v>39</v>
      </c>
      <c r="B25" s="49">
        <f>VLOOKUP(tarife_no,tarife_parametreleri,9,FALSE)</f>
        <v>0.441</v>
      </c>
    </row>
    <row r="26" spans="1:8" x14ac:dyDescent="0.25">
      <c r="A26" s="40" t="s">
        <v>104</v>
      </c>
      <c r="B26">
        <f>VLOOKUP(tarife_no,tarife_parametreleri,16,FALSE)</f>
        <v>0</v>
      </c>
    </row>
    <row r="27" spans="1:8" x14ac:dyDescent="0.25">
      <c r="A27" s="32" t="s">
        <v>86</v>
      </c>
      <c r="B27" s="33">
        <f>MONTH(police_baslangic_tarihi)*100+DAY(police_baslangic_tarihi)</f>
        <v>625</v>
      </c>
    </row>
    <row r="28" spans="1:8" x14ac:dyDescent="0.25">
      <c r="A28" s="32" t="s">
        <v>87</v>
      </c>
      <c r="B28" s="33">
        <f>MONTH(doğum_tarihi)*100+DAY(doğum_tarihi)</f>
        <v>801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tabSelected="1" workbookViewId="0">
      <selection sqref="A1:XFD1048576"/>
    </sheetView>
  </sheetViews>
  <sheetFormatPr defaultColWidth="9.28515625" defaultRowHeight="15" x14ac:dyDescent="0.25"/>
  <cols>
    <col min="1" max="1" width="5" bestFit="1" customWidth="1"/>
    <col min="2" max="2" width="9" bestFit="1" customWidth="1"/>
    <col min="3" max="3" width="5.5703125" bestFit="1" customWidth="1"/>
    <col min="4" max="4" width="10.7109375" bestFit="1" customWidth="1"/>
    <col min="5" max="5" width="16.28515625" bestFit="1" customWidth="1"/>
    <col min="6" max="6" width="9.85546875" bestFit="1" customWidth="1"/>
  </cols>
  <sheetData>
    <row r="1" spans="1:6" x14ac:dyDescent="0.25">
      <c r="A1" t="s">
        <v>90</v>
      </c>
      <c r="B1" t="s">
        <v>91</v>
      </c>
      <c r="C1" t="s">
        <v>130</v>
      </c>
      <c r="D1" t="s">
        <v>131</v>
      </c>
      <c r="E1" t="s">
        <v>132</v>
      </c>
      <c r="F1" t="s">
        <v>133</v>
      </c>
    </row>
    <row r="2" spans="1:6" x14ac:dyDescent="0.25">
      <c r="A2">
        <v>2138</v>
      </c>
      <c r="B2">
        <v>10039024</v>
      </c>
    </row>
    <row r="3" spans="1:6" x14ac:dyDescent="0.25">
      <c r="A3">
        <v>2150</v>
      </c>
      <c r="B3">
        <v>5026738</v>
      </c>
    </row>
    <row r="4" spans="1:6" x14ac:dyDescent="0.25">
      <c r="A4">
        <v>2127</v>
      </c>
      <c r="B4">
        <v>5026739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66" activePane="bottomLeft" state="frozen"/>
      <selection pane="bottomLeft" activeCell="D91" sqref="D91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v>0.55200000000000005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v>0.441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v>0.29199999999999998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v>6.8000000000000005E-2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v>0.55200000000000005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v>0.441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v>0.29199999999999998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v>6.8000000000000005E-2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v>0.57599999999999996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v>0.47799999999999998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v>0.34699999999999998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v>0.15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v>0.57599999999999996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v>0.47799999999999998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v>0.34699999999999998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v>0.15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2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2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2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0">
        <v>3.5000000000000003E-2</v>
      </c>
      <c r="H71" s="50">
        <v>0.25</v>
      </c>
      <c r="I71" s="52">
        <v>0.55200000000000005</v>
      </c>
      <c r="J71" s="50" t="s">
        <v>2</v>
      </c>
      <c r="K71" s="50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0">
        <v>0.04</v>
      </c>
      <c r="H72" s="50">
        <v>0.25</v>
      </c>
      <c r="I72" s="52">
        <v>0.441</v>
      </c>
      <c r="J72" s="50" t="s">
        <v>4</v>
      </c>
      <c r="K72" s="50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0">
        <v>0.04</v>
      </c>
      <c r="H73" s="50">
        <v>0.25</v>
      </c>
      <c r="I73" s="52">
        <v>0.29199999999999998</v>
      </c>
      <c r="J73" s="50" t="s">
        <v>4</v>
      </c>
      <c r="K73" s="50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0">
        <v>3.5000000000000003E-2</v>
      </c>
      <c r="H74" s="50">
        <v>0.25</v>
      </c>
      <c r="I74" s="52">
        <v>6.8000000000000005E-2</v>
      </c>
      <c r="J74" s="50" t="s">
        <v>2</v>
      </c>
      <c r="K74" s="50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0">
        <v>3.5000000000000003E-2</v>
      </c>
      <c r="H75" s="50">
        <v>0.25</v>
      </c>
      <c r="I75" s="52">
        <v>0.55200000000000005</v>
      </c>
      <c r="J75" s="50" t="s">
        <v>2</v>
      </c>
      <c r="K75" s="50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0">
        <v>0.04</v>
      </c>
      <c r="H76" s="50">
        <v>0.25</v>
      </c>
      <c r="I76" s="52">
        <v>0.441</v>
      </c>
      <c r="J76" s="50" t="s">
        <v>4</v>
      </c>
      <c r="K76" s="50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0">
        <v>0.04</v>
      </c>
      <c r="H77" s="50">
        <v>0.25</v>
      </c>
      <c r="I77" s="52">
        <v>0.29199999999999998</v>
      </c>
      <c r="J77" s="50" t="s">
        <v>4</v>
      </c>
      <c r="K77" s="50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0">
        <v>3.5000000000000003E-2</v>
      </c>
      <c r="H78" s="50">
        <v>0.25</v>
      </c>
      <c r="I78" s="52">
        <v>6.8000000000000005E-2</v>
      </c>
      <c r="J78" s="50" t="s">
        <v>2</v>
      </c>
      <c r="K78" s="50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0">
        <v>3.5000000000000003E-2</v>
      </c>
      <c r="H79" s="50">
        <v>0.25</v>
      </c>
      <c r="I79" s="52">
        <v>0.55200000000000005</v>
      </c>
      <c r="J79" s="50" t="s">
        <v>2</v>
      </c>
      <c r="K79" s="50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0">
        <v>0.04</v>
      </c>
      <c r="H80" s="50">
        <v>0.25</v>
      </c>
      <c r="I80" s="52">
        <v>0.441</v>
      </c>
      <c r="J80" s="50" t="s">
        <v>4</v>
      </c>
      <c r="K80" s="50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0">
        <v>0.04</v>
      </c>
      <c r="H81" s="50">
        <v>0.25</v>
      </c>
      <c r="I81" s="52">
        <v>0.29199999999999998</v>
      </c>
      <c r="J81" s="50" t="s">
        <v>4</v>
      </c>
      <c r="K81" s="50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0">
        <v>3.5000000000000003E-2</v>
      </c>
      <c r="H82" s="50">
        <v>0.25</v>
      </c>
      <c r="I82" s="52">
        <v>6.8000000000000005E-2</v>
      </c>
      <c r="J82" s="50" t="s">
        <v>2</v>
      </c>
      <c r="K82" s="50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0">
        <v>3.5000000000000003E-2</v>
      </c>
      <c r="H83" s="50">
        <v>0.25</v>
      </c>
      <c r="I83" s="52">
        <v>0.55200000000000005</v>
      </c>
      <c r="J83" s="50" t="s">
        <v>2</v>
      </c>
      <c r="K83" s="50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0">
        <v>0.04</v>
      </c>
      <c r="H84" s="50">
        <v>0.25</v>
      </c>
      <c r="I84" s="52">
        <v>0.441</v>
      </c>
      <c r="J84" s="50" t="s">
        <v>4</v>
      </c>
      <c r="K84" s="50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0">
        <v>0.04</v>
      </c>
      <c r="H85" s="50">
        <v>0.25</v>
      </c>
      <c r="I85" s="52">
        <v>0.29199999999999998</v>
      </c>
      <c r="J85" s="50" t="s">
        <v>4</v>
      </c>
      <c r="K85" s="50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0">
        <v>3.5000000000000003E-2</v>
      </c>
      <c r="H86" s="50">
        <v>0.25</v>
      </c>
      <c r="I86" s="52">
        <v>6.8000000000000005E-2</v>
      </c>
      <c r="J86" s="50" t="s">
        <v>2</v>
      </c>
      <c r="K86" s="50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str">
        <f>CONCATENATE(mortalite_tablosu,IF(Hesap!B22="karma","KARMA",Hesap!B10))</f>
        <v>CSO1980KARMA</v>
      </c>
      <c r="B3" s="18">
        <f>1+tfo</f>
        <v>1.04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>
        <f>VLOOKUP(A6,'qx''ler'!$1:$1048576,MATCH(komutasyon_tablo!$A$3,'qx''ler'!$1:$1,0),FALSE)</f>
        <v>3.5400000000000002E-3</v>
      </c>
      <c r="C6" s="21">
        <f t="shared" ref="C6:C69" si="0">1-B6</f>
        <v>0.99646000000000001</v>
      </c>
      <c r="D6" s="22">
        <v>10000000</v>
      </c>
      <c r="E6" s="22">
        <f t="shared" ref="E6:E69" si="1">D6*B6</f>
        <v>35400</v>
      </c>
      <c r="F6" s="23">
        <f>D6*(1/($B$3^A6))</f>
        <v>10000000</v>
      </c>
      <c r="G6" s="23">
        <f>SUM(F6:F$127)</f>
        <v>239759027.46083149</v>
      </c>
      <c r="H6" s="23">
        <f>SUM(G6:$G$127)</f>
        <v>5159871210.1015892</v>
      </c>
      <c r="I6" s="23">
        <f>E6*(1/($B$3^(A6+1)))</f>
        <v>34038.461538461539</v>
      </c>
      <c r="J6" s="23">
        <f>SUM(I6:I$127)</f>
        <v>778498.94381416985</v>
      </c>
      <c r="K6" s="23">
        <f>SUM(J6:J$127)</f>
        <v>41302442.456923701</v>
      </c>
      <c r="L6" s="24">
        <f t="shared" ref="L6:L69" si="2">I6/F6</f>
        <v>3.403846153846154E-3</v>
      </c>
    </row>
    <row r="7" spans="1:12" x14ac:dyDescent="0.25">
      <c r="A7" s="20">
        <f t="shared" ref="A7:A70" si="3">A6+1</f>
        <v>1</v>
      </c>
      <c r="B7" s="21">
        <f>VLOOKUP(A7,'qx''ler'!$1:$1048576,MATCH(komutasyon_tablo!$A$3,'qx''ler'!$1:$1,0),FALSE)</f>
        <v>9.7000000000000005E-4</v>
      </c>
      <c r="C7" s="21">
        <f t="shared" si="0"/>
        <v>0.99902999999999997</v>
      </c>
      <c r="D7" s="22">
        <f t="shared" ref="D7:D70" si="4">D6-E6</f>
        <v>9964600</v>
      </c>
      <c r="E7" s="22">
        <f t="shared" si="1"/>
        <v>9665.6620000000003</v>
      </c>
      <c r="F7" s="23">
        <f t="shared" ref="F7:F70" si="5">D7*(1/($B$3^A7))</f>
        <v>9581346.1538461521</v>
      </c>
      <c r="G7" s="23">
        <f>SUM(F7:F$127)</f>
        <v>229759027.46083149</v>
      </c>
      <c r="H7" s="23">
        <f>SUM(G7:$G$127)</f>
        <v>4920112182.6407604</v>
      </c>
      <c r="I7" s="23">
        <f t="shared" ref="I7:I70" si="6">E7*(1/($B$3^(A7+1)))</f>
        <v>8936.4478550295844</v>
      </c>
      <c r="J7" s="23">
        <f>SUM(I7:I$127)</f>
        <v>744460.48227570823</v>
      </c>
      <c r="K7" s="23">
        <f>SUM(J7:J$127)</f>
        <v>40523943.513109535</v>
      </c>
      <c r="L7" s="24">
        <f t="shared" si="2"/>
        <v>9.3269230769230766E-4</v>
      </c>
    </row>
    <row r="8" spans="1:12" x14ac:dyDescent="0.25">
      <c r="A8" s="20">
        <f t="shared" si="3"/>
        <v>2</v>
      </c>
      <c r="B8" s="21">
        <f>VLOOKUP(A8,'qx''ler'!$1:$1048576,MATCH(komutasyon_tablo!$A$3,'qx''ler'!$1:$1,0),FALSE)</f>
        <v>9.1E-4</v>
      </c>
      <c r="C8" s="21">
        <f t="shared" si="0"/>
        <v>0.99909000000000003</v>
      </c>
      <c r="D8" s="22">
        <f t="shared" si="4"/>
        <v>9954934.3379999995</v>
      </c>
      <c r="E8" s="22">
        <f t="shared" si="1"/>
        <v>9058.990247579999</v>
      </c>
      <c r="F8" s="23">
        <f t="shared" si="5"/>
        <v>9203896.3923816551</v>
      </c>
      <c r="G8" s="23">
        <f>SUM(F8:F$127)</f>
        <v>220177681.30698529</v>
      </c>
      <c r="H8" s="23">
        <f>SUM(G8:$G$127)</f>
        <v>4690353155.1799297</v>
      </c>
      <c r="I8" s="23">
        <f t="shared" si="6"/>
        <v>8053.4093433339485</v>
      </c>
      <c r="J8" s="23">
        <f>SUM(I8:I$127)</f>
        <v>735524.03442067862</v>
      </c>
      <c r="K8" s="23">
        <f>SUM(J8:J$127)</f>
        <v>39779483.03083384</v>
      </c>
      <c r="L8" s="24">
        <f t="shared" si="2"/>
        <v>8.7500000000000002E-4</v>
      </c>
    </row>
    <row r="9" spans="1:12" x14ac:dyDescent="0.25">
      <c r="A9" s="20">
        <f t="shared" si="3"/>
        <v>3</v>
      </c>
      <c r="B9" s="21">
        <f>VLOOKUP(A9,'qx''ler'!$1:$1048576,MATCH(komutasyon_tablo!$A$3,'qx''ler'!$1:$1,0),FALSE)</f>
        <v>8.8999999999999995E-4</v>
      </c>
      <c r="C9" s="21">
        <f t="shared" si="0"/>
        <v>0.99911000000000005</v>
      </c>
      <c r="D9" s="22">
        <f t="shared" si="4"/>
        <v>9945875.3477524202</v>
      </c>
      <c r="E9" s="22">
        <f t="shared" si="1"/>
        <v>8851.8290594996542</v>
      </c>
      <c r="F9" s="23">
        <f t="shared" si="5"/>
        <v>8841846.9679467212</v>
      </c>
      <c r="G9" s="23">
        <f>SUM(F9:F$127)</f>
        <v>210973784.91460365</v>
      </c>
      <c r="H9" s="23">
        <f>SUM(G9:$G$127)</f>
        <v>4470175473.8729439</v>
      </c>
      <c r="I9" s="23">
        <f t="shared" si="6"/>
        <v>7566.5805783390197</v>
      </c>
      <c r="J9" s="23">
        <f>SUM(I9:I$127)</f>
        <v>727470.62507734483</v>
      </c>
      <c r="K9" s="23">
        <f>SUM(J9:J$127)</f>
        <v>39043958.996413156</v>
      </c>
      <c r="L9" s="24">
        <f t="shared" si="2"/>
        <v>8.5576923076923059E-4</v>
      </c>
    </row>
    <row r="10" spans="1:12" x14ac:dyDescent="0.25">
      <c r="A10" s="20">
        <f t="shared" si="3"/>
        <v>4</v>
      </c>
      <c r="B10" s="21">
        <f>VLOOKUP(A10,'qx''ler'!$1:$1048576,MATCH(komutasyon_tablo!$A$3,'qx''ler'!$1:$1,0),FALSE)</f>
        <v>8.4999999999999995E-4</v>
      </c>
      <c r="C10" s="21">
        <f t="shared" si="0"/>
        <v>0.99914999999999998</v>
      </c>
      <c r="D10" s="22">
        <f t="shared" si="4"/>
        <v>9937023.51869292</v>
      </c>
      <c r="E10" s="22">
        <f t="shared" si="1"/>
        <v>8446.4699908889816</v>
      </c>
      <c r="F10" s="23">
        <f t="shared" si="5"/>
        <v>8494209.3501396608</v>
      </c>
      <c r="G10" s="23">
        <f>SUM(F10:F$127)</f>
        <v>202131937.94665691</v>
      </c>
      <c r="H10" s="23">
        <f>SUM(G10:$G$127)</f>
        <v>4259201688.9583406</v>
      </c>
      <c r="I10" s="23">
        <f t="shared" si="6"/>
        <v>6942.382641941067</v>
      </c>
      <c r="J10" s="23">
        <f>SUM(I10:I$127)</f>
        <v>719904.04449900577</v>
      </c>
      <c r="K10" s="23">
        <f>SUM(J10:J$127)</f>
        <v>38316488.371335812</v>
      </c>
      <c r="L10" s="24">
        <f t="shared" si="2"/>
        <v>8.1730769230769205E-4</v>
      </c>
    </row>
    <row r="11" spans="1:12" x14ac:dyDescent="0.25">
      <c r="A11" s="20">
        <f t="shared" si="3"/>
        <v>5</v>
      </c>
      <c r="B11" s="21">
        <f>VLOOKUP(A11,'qx''ler'!$1:$1048576,MATCH(komutasyon_tablo!$A$3,'qx''ler'!$1:$1,0),FALSE)</f>
        <v>8.3000000000000001E-4</v>
      </c>
      <c r="C11" s="21">
        <f t="shared" si="0"/>
        <v>0.99917</v>
      </c>
      <c r="D11" s="22">
        <f t="shared" si="4"/>
        <v>9928577.0487020314</v>
      </c>
      <c r="E11" s="22">
        <f t="shared" si="1"/>
        <v>8240.7189504226862</v>
      </c>
      <c r="F11" s="23">
        <f t="shared" si="5"/>
        <v>8160566.6078769621</v>
      </c>
      <c r="G11" s="23">
        <f>SUM(F11:F$127)</f>
        <v>193637728.59651726</v>
      </c>
      <c r="H11" s="23">
        <f>SUM(G11:$G$127)</f>
        <v>4057069751.0116835</v>
      </c>
      <c r="I11" s="23">
        <f t="shared" si="6"/>
        <v>6512.7598889787296</v>
      </c>
      <c r="J11" s="23">
        <f>SUM(I11:I$127)</f>
        <v>712961.66185706481</v>
      </c>
      <c r="K11" s="23">
        <f>SUM(J11:J$127)</f>
        <v>37596584.326836802</v>
      </c>
      <c r="L11" s="24">
        <f t="shared" si="2"/>
        <v>7.9807692307692316E-4</v>
      </c>
    </row>
    <row r="12" spans="1:12" x14ac:dyDescent="0.25">
      <c r="A12" s="20">
        <f t="shared" si="3"/>
        <v>6</v>
      </c>
      <c r="B12" s="21">
        <f>VLOOKUP(A12,'qx''ler'!$1:$1048576,MATCH(komutasyon_tablo!$A$3,'qx''ler'!$1:$1,0),FALSE)</f>
        <v>7.9000000000000001E-4</v>
      </c>
      <c r="C12" s="21">
        <f t="shared" si="0"/>
        <v>0.99921000000000004</v>
      </c>
      <c r="D12" s="22">
        <f t="shared" si="4"/>
        <v>9920336.3297516089</v>
      </c>
      <c r="E12" s="22">
        <f t="shared" si="1"/>
        <v>7837.065700503771</v>
      </c>
      <c r="F12" s="23">
        <f t="shared" si="5"/>
        <v>7840185.9015311776</v>
      </c>
      <c r="G12" s="23">
        <f>SUM(F12:F$127)</f>
        <v>185477161.98864028</v>
      </c>
      <c r="H12" s="23">
        <f>SUM(G12:$G$127)</f>
        <v>3863432022.4151664</v>
      </c>
      <c r="I12" s="23">
        <f t="shared" si="6"/>
        <v>5955.5258290477223</v>
      </c>
      <c r="J12" s="23">
        <f>SUM(I12:I$127)</f>
        <v>706448.90196808602</v>
      </c>
      <c r="K12" s="23">
        <f>SUM(J12:J$127)</f>
        <v>36883622.664979741</v>
      </c>
      <c r="L12" s="24">
        <f t="shared" si="2"/>
        <v>7.5961538461538473E-4</v>
      </c>
    </row>
    <row r="13" spans="1:12" x14ac:dyDescent="0.25">
      <c r="A13" s="20">
        <f t="shared" si="3"/>
        <v>7</v>
      </c>
      <c r="B13" s="21">
        <f>VLOOKUP(A13,'qx''ler'!$1:$1048576,MATCH(komutasyon_tablo!$A$3,'qx''ler'!$1:$1,0),FALSE)</f>
        <v>7.6999999999999996E-4</v>
      </c>
      <c r="C13" s="21">
        <f t="shared" si="0"/>
        <v>0.99922999999999995</v>
      </c>
      <c r="D13" s="22">
        <f t="shared" si="4"/>
        <v>9912499.2640511058</v>
      </c>
      <c r="E13" s="22">
        <f t="shared" si="1"/>
        <v>7632.6244333193508</v>
      </c>
      <c r="F13" s="23">
        <f t="shared" si="5"/>
        <v>7532684.7641047779</v>
      </c>
      <c r="G13" s="23">
        <f>SUM(F13:F$127)</f>
        <v>177636976.08710909</v>
      </c>
      <c r="H13" s="23">
        <f>SUM(G13:$G$127)</f>
        <v>3677954860.4265261</v>
      </c>
      <c r="I13" s="23">
        <f t="shared" si="6"/>
        <v>5577.0839118852664</v>
      </c>
      <c r="J13" s="23">
        <f>SUM(I13:I$127)</f>
        <v>700493.37613903824</v>
      </c>
      <c r="K13" s="23">
        <f>SUM(J13:J$127)</f>
        <v>36177173.763011642</v>
      </c>
      <c r="L13" s="24">
        <f t="shared" si="2"/>
        <v>7.4038461538461508E-4</v>
      </c>
    </row>
    <row r="14" spans="1:12" x14ac:dyDescent="0.25">
      <c r="A14" s="20">
        <f t="shared" si="3"/>
        <v>8</v>
      </c>
      <c r="B14" s="21">
        <f>VLOOKUP(A14,'qx''ler'!$1:$1048576,MATCH(komutasyon_tablo!$A$3,'qx''ler'!$1:$1,0),FALSE)</f>
        <v>7.2999999999999996E-4</v>
      </c>
      <c r="C14" s="21">
        <f t="shared" si="0"/>
        <v>0.99926999999999999</v>
      </c>
      <c r="D14" s="22">
        <f t="shared" si="4"/>
        <v>9904866.6396177858</v>
      </c>
      <c r="E14" s="22">
        <f t="shared" si="1"/>
        <v>7230.5526469209835</v>
      </c>
      <c r="F14" s="23">
        <f t="shared" si="5"/>
        <v>7237389.0354196299</v>
      </c>
      <c r="G14" s="23">
        <f>SUM(F14:F$127)</f>
        <v>170104291.32300434</v>
      </c>
      <c r="H14" s="23">
        <f>SUM(G14:$G$127)</f>
        <v>3500317884.339417</v>
      </c>
      <c r="I14" s="23">
        <f t="shared" si="6"/>
        <v>5080.0903806310853</v>
      </c>
      <c r="J14" s="23">
        <f>SUM(I14:I$127)</f>
        <v>694916.29222715297</v>
      </c>
      <c r="K14" s="23">
        <f>SUM(J14:J$127)</f>
        <v>35476680.386872612</v>
      </c>
      <c r="L14" s="24">
        <f t="shared" si="2"/>
        <v>7.0192307692307676E-4</v>
      </c>
    </row>
    <row r="15" spans="1:12" x14ac:dyDescent="0.25">
      <c r="A15" s="20">
        <f t="shared" si="3"/>
        <v>9</v>
      </c>
      <c r="B15" s="21">
        <f>VLOOKUP(A15,'qx''ler'!$1:$1048576,MATCH(komutasyon_tablo!$A$3,'qx''ler'!$1:$1,0),FALSE)</f>
        <v>7.2000000000000005E-4</v>
      </c>
      <c r="C15" s="21">
        <f t="shared" si="0"/>
        <v>0.99927999999999995</v>
      </c>
      <c r="D15" s="22">
        <f t="shared" si="4"/>
        <v>9897636.0869708657</v>
      </c>
      <c r="E15" s="22">
        <f t="shared" si="1"/>
        <v>7126.297982619024</v>
      </c>
      <c r="F15" s="23">
        <f t="shared" si="5"/>
        <v>6953947.8282920895</v>
      </c>
      <c r="G15" s="23">
        <f>SUM(F15:F$127)</f>
        <v>162866902.28758469</v>
      </c>
      <c r="H15" s="23">
        <f>SUM(G15:$G$127)</f>
        <v>3330213593.0164132</v>
      </c>
      <c r="I15" s="23">
        <f t="shared" si="6"/>
        <v>4814.2715734329859</v>
      </c>
      <c r="J15" s="23">
        <f>SUM(I15:I$127)</f>
        <v>689836.20184652181</v>
      </c>
      <c r="K15" s="23">
        <f>SUM(J15:J$127)</f>
        <v>34781764.094645463</v>
      </c>
      <c r="L15" s="24">
        <f t="shared" si="2"/>
        <v>6.9230769230769237E-4</v>
      </c>
    </row>
    <row r="16" spans="1:12" x14ac:dyDescent="0.25">
      <c r="A16" s="20">
        <f t="shared" si="3"/>
        <v>10</v>
      </c>
      <c r="B16" s="21">
        <f>VLOOKUP(A16,'qx''ler'!$1:$1048576,MATCH(komutasyon_tablo!$A$3,'qx''ler'!$1:$1,0),FALSE)</f>
        <v>7.1000000000000002E-4</v>
      </c>
      <c r="C16" s="21">
        <f t="shared" si="0"/>
        <v>0.99929000000000001</v>
      </c>
      <c r="D16" s="22">
        <f t="shared" si="4"/>
        <v>9890509.7889882475</v>
      </c>
      <c r="E16" s="22">
        <f t="shared" si="1"/>
        <v>7022.2619501816562</v>
      </c>
      <c r="F16" s="23">
        <f t="shared" si="5"/>
        <v>6681674.0248612696</v>
      </c>
      <c r="G16" s="23">
        <f>SUM(F16:F$127)</f>
        <v>155912954.45929259</v>
      </c>
      <c r="H16" s="23">
        <f>SUM(G16:$G$127)</f>
        <v>3167346690.728828</v>
      </c>
      <c r="I16" s="23">
        <f t="shared" si="6"/>
        <v>4561.5274592802907</v>
      </c>
      <c r="J16" s="23">
        <f>SUM(I16:I$127)</f>
        <v>685021.93027308886</v>
      </c>
      <c r="K16" s="23">
        <f>SUM(J16:J$127)</f>
        <v>34091927.892798953</v>
      </c>
      <c r="L16" s="24">
        <f t="shared" si="2"/>
        <v>6.8269230769230787E-4</v>
      </c>
    </row>
    <row r="17" spans="1:12" x14ac:dyDescent="0.25">
      <c r="A17" s="20">
        <f t="shared" si="3"/>
        <v>11</v>
      </c>
      <c r="B17" s="21">
        <f>VLOOKUP(A17,'qx''ler'!$1:$1048576,MATCH(komutasyon_tablo!$A$3,'qx''ler'!$1:$1,0),FALSE)</f>
        <v>7.2000000000000005E-4</v>
      </c>
      <c r="C17" s="21">
        <f t="shared" si="0"/>
        <v>0.99927999999999995</v>
      </c>
      <c r="D17" s="22">
        <f t="shared" si="4"/>
        <v>9883487.5270380657</v>
      </c>
      <c r="E17" s="22">
        <f t="shared" si="1"/>
        <v>7116.1110194674075</v>
      </c>
      <c r="F17" s="23">
        <f t="shared" si="5"/>
        <v>6420125.0349073261</v>
      </c>
      <c r="G17" s="23">
        <f>SUM(F17:F$127)</f>
        <v>149231280.43443128</v>
      </c>
      <c r="H17" s="23">
        <f>SUM(G17:$G$127)</f>
        <v>3011433736.2695355</v>
      </c>
      <c r="I17" s="23">
        <f t="shared" si="6"/>
        <v>4444.7019472435322</v>
      </c>
      <c r="J17" s="23">
        <f>SUM(I17:I$127)</f>
        <v>680460.40281380853</v>
      </c>
      <c r="K17" s="23">
        <f>SUM(J17:J$127)</f>
        <v>33406905.962525856</v>
      </c>
      <c r="L17" s="24">
        <f t="shared" si="2"/>
        <v>6.9230769230769216E-4</v>
      </c>
    </row>
    <row r="18" spans="1:12" x14ac:dyDescent="0.25">
      <c r="A18" s="20">
        <f t="shared" si="3"/>
        <v>12</v>
      </c>
      <c r="B18" s="21">
        <f>VLOOKUP(A18,'qx''ler'!$1:$1048576,MATCH(komutasyon_tablo!$A$3,'qx''ler'!$1:$1,0),FALSE)</f>
        <v>7.7999999999999999E-4</v>
      </c>
      <c r="C18" s="21">
        <f t="shared" si="0"/>
        <v>0.99922</v>
      </c>
      <c r="D18" s="22">
        <f t="shared" si="4"/>
        <v>9876371.4160185978</v>
      </c>
      <c r="E18" s="22">
        <f t="shared" si="1"/>
        <v>7703.5697044945064</v>
      </c>
      <c r="F18" s="23">
        <f t="shared" si="5"/>
        <v>6168752.4470021063</v>
      </c>
      <c r="G18" s="23">
        <f>SUM(F18:F$127)</f>
        <v>142811155.399524</v>
      </c>
      <c r="H18" s="23">
        <f>SUM(G18:$G$127)</f>
        <v>2862202455.8351045</v>
      </c>
      <c r="I18" s="23">
        <f t="shared" si="6"/>
        <v>4626.5643352515799</v>
      </c>
      <c r="J18" s="23">
        <f>SUM(I18:I$127)</f>
        <v>676015.70086656499</v>
      </c>
      <c r="K18" s="23">
        <f>SUM(J18:J$127)</f>
        <v>32726445.559712049</v>
      </c>
      <c r="L18" s="24">
        <f t="shared" si="2"/>
        <v>7.5000000000000002E-4</v>
      </c>
    </row>
    <row r="19" spans="1:12" x14ac:dyDescent="0.25">
      <c r="A19" s="20">
        <f t="shared" si="3"/>
        <v>13</v>
      </c>
      <c r="B19" s="21">
        <f>VLOOKUP(A19,'qx''ler'!$1:$1048576,MATCH(komutasyon_tablo!$A$3,'qx''ler'!$1:$1,0),FALSE)</f>
        <v>8.7000000000000001E-4</v>
      </c>
      <c r="C19" s="21">
        <f t="shared" si="0"/>
        <v>0.99912999999999996</v>
      </c>
      <c r="D19" s="22">
        <f t="shared" si="4"/>
        <v>9868667.8463141024</v>
      </c>
      <c r="E19" s="22">
        <f t="shared" si="1"/>
        <v>8585.7410262932699</v>
      </c>
      <c r="F19" s="23">
        <f t="shared" si="5"/>
        <v>5926866.1731667733</v>
      </c>
      <c r="G19" s="23">
        <f>SUM(F19:F$127)</f>
        <v>136642402.95252192</v>
      </c>
      <c r="H19" s="23">
        <f>SUM(G19:$G$127)</f>
        <v>2719391300.4355803</v>
      </c>
      <c r="I19" s="23">
        <f t="shared" si="6"/>
        <v>4958.0515102452819</v>
      </c>
      <c r="J19" s="23">
        <f>SUM(I19:I$127)</f>
        <v>671389.13653131342</v>
      </c>
      <c r="K19" s="23">
        <f>SUM(J19:J$127)</f>
        <v>32050429.858845487</v>
      </c>
      <c r="L19" s="24">
        <f t="shared" si="2"/>
        <v>8.3653846153846159E-4</v>
      </c>
    </row>
    <row r="20" spans="1:12" x14ac:dyDescent="0.25">
      <c r="A20" s="20">
        <f t="shared" si="3"/>
        <v>14</v>
      </c>
      <c r="B20" s="21">
        <f>VLOOKUP(A20,'qx''ler'!$1:$1048576,MATCH(komutasyon_tablo!$A$3,'qx''ler'!$1:$1,0),FALSE)</f>
        <v>9.7000000000000005E-4</v>
      </c>
      <c r="C20" s="21">
        <f t="shared" si="0"/>
        <v>0.99902999999999997</v>
      </c>
      <c r="D20" s="22">
        <f t="shared" si="4"/>
        <v>9860082.1052878089</v>
      </c>
      <c r="E20" s="22">
        <f t="shared" si="1"/>
        <v>9564.279642129175</v>
      </c>
      <c r="F20" s="23">
        <f t="shared" si="5"/>
        <v>5693951.7303808825</v>
      </c>
      <c r="G20" s="23">
        <f>SUM(F20:F$127)</f>
        <v>130715536.77935497</v>
      </c>
      <c r="H20" s="23">
        <f>SUM(G20:$G$127)</f>
        <v>2582748897.4830585</v>
      </c>
      <c r="I20" s="23">
        <f t="shared" si="6"/>
        <v>5310.704979297554</v>
      </c>
      <c r="J20" s="23">
        <f>SUM(I20:I$127)</f>
        <v>666431.08502106811</v>
      </c>
      <c r="K20" s="23">
        <f>SUM(J20:J$127)</f>
        <v>31379040.722314175</v>
      </c>
      <c r="L20" s="24">
        <f t="shared" si="2"/>
        <v>9.3269230769230777E-4</v>
      </c>
    </row>
    <row r="21" spans="1:12" x14ac:dyDescent="0.25">
      <c r="A21" s="20">
        <f t="shared" si="3"/>
        <v>15</v>
      </c>
      <c r="B21" s="21">
        <f>VLOOKUP(A21,'qx''ler'!$1:$1048576,MATCH(komutasyon_tablo!$A$3,'qx''ler'!$1:$1,0),FALSE)</f>
        <v>1.1000000000000001E-3</v>
      </c>
      <c r="C21" s="21">
        <f t="shared" si="0"/>
        <v>0.99890000000000001</v>
      </c>
      <c r="D21" s="22">
        <f t="shared" si="4"/>
        <v>9850517.8256456796</v>
      </c>
      <c r="E21" s="22">
        <f t="shared" si="1"/>
        <v>10835.569608210248</v>
      </c>
      <c r="F21" s="23">
        <f t="shared" si="5"/>
        <v>5469642.8819253966</v>
      </c>
      <c r="G21" s="23">
        <f>SUM(F21:F$127)</f>
        <v>125021585.04897408</v>
      </c>
      <c r="H21" s="23">
        <f>SUM(G21:$G$127)</f>
        <v>2452033360.7037034</v>
      </c>
      <c r="I21" s="23">
        <f t="shared" si="6"/>
        <v>5785.1992020364769</v>
      </c>
      <c r="J21" s="23">
        <f>SUM(I21:I$127)</f>
        <v>661120.38004177052</v>
      </c>
      <c r="K21" s="23">
        <f>SUM(J21:J$127)</f>
        <v>30712609.637293108</v>
      </c>
      <c r="L21" s="24">
        <f t="shared" si="2"/>
        <v>1.0576923076923077E-3</v>
      </c>
    </row>
    <row r="22" spans="1:12" x14ac:dyDescent="0.25">
      <c r="A22" s="20">
        <f t="shared" si="3"/>
        <v>16</v>
      </c>
      <c r="B22" s="21">
        <f>VLOOKUP(A22,'qx''ler'!$1:$1048576,MATCH(komutasyon_tablo!$A$3,'qx''ler'!$1:$1,0),FALSE)</f>
        <v>1.2099999999999999E-3</v>
      </c>
      <c r="C22" s="21">
        <f t="shared" si="0"/>
        <v>0.99878999999999996</v>
      </c>
      <c r="D22" s="22">
        <f t="shared" si="4"/>
        <v>9839682.25603747</v>
      </c>
      <c r="E22" s="22">
        <f t="shared" si="1"/>
        <v>11906.015529805338</v>
      </c>
      <c r="F22" s="23">
        <f t="shared" si="5"/>
        <v>5253486.8026493061</v>
      </c>
      <c r="G22" s="23">
        <f>SUM(F22:F$127)</f>
        <v>119551942.16704869</v>
      </c>
      <c r="H22" s="23">
        <f>SUM(G22:$G$127)</f>
        <v>2327011775.6547284</v>
      </c>
      <c r="I22" s="23">
        <f t="shared" si="6"/>
        <v>6112.2298376977506</v>
      </c>
      <c r="J22" s="23">
        <f>SUM(I22:I$127)</f>
        <v>655335.18083973404</v>
      </c>
      <c r="K22" s="23">
        <f>SUM(J22:J$127)</f>
        <v>30051489.257251337</v>
      </c>
      <c r="L22" s="24">
        <f t="shared" si="2"/>
        <v>1.1634615384615386E-3</v>
      </c>
    </row>
    <row r="23" spans="1:12" x14ac:dyDescent="0.25">
      <c r="A23" s="20">
        <f t="shared" si="3"/>
        <v>17</v>
      </c>
      <c r="B23" s="21">
        <f>VLOOKUP(A23,'qx''ler'!$1:$1048576,MATCH(komutasyon_tablo!$A$3,'qx''ler'!$1:$1,0),FALSE)</f>
        <v>1.31E-3</v>
      </c>
      <c r="C23" s="21">
        <f t="shared" si="0"/>
        <v>0.99868999999999997</v>
      </c>
      <c r="D23" s="22">
        <f t="shared" si="4"/>
        <v>9827776.2405076642</v>
      </c>
      <c r="E23" s="22">
        <f t="shared" si="1"/>
        <v>12874.38687506504</v>
      </c>
      <c r="F23" s="23">
        <f t="shared" si="5"/>
        <v>5045317.3880943274</v>
      </c>
      <c r="G23" s="23">
        <f>SUM(F23:F$127)</f>
        <v>114298455.36439937</v>
      </c>
      <c r="H23" s="23">
        <f>SUM(G23:$G$127)</f>
        <v>2207459833.4876795</v>
      </c>
      <c r="I23" s="23">
        <f t="shared" si="6"/>
        <v>6355.1594023111229</v>
      </c>
      <c r="J23" s="23">
        <f>SUM(I23:I$127)</f>
        <v>649222.95100203622</v>
      </c>
      <c r="K23" s="23">
        <f>SUM(J23:J$127)</f>
        <v>29396154.076411605</v>
      </c>
      <c r="L23" s="24">
        <f t="shared" si="2"/>
        <v>1.2596153846153844E-3</v>
      </c>
    </row>
    <row r="24" spans="1:12" x14ac:dyDescent="0.25">
      <c r="A24" s="20">
        <f t="shared" si="3"/>
        <v>18</v>
      </c>
      <c r="B24" s="21">
        <f>VLOOKUP(A24,'qx''ler'!$1:$1048576,MATCH(komutasyon_tablo!$A$3,'qx''ler'!$1:$1,0),FALSE)</f>
        <v>1.39E-3</v>
      </c>
      <c r="C24" s="21">
        <f t="shared" si="0"/>
        <v>0.99861</v>
      </c>
      <c r="D24" s="22">
        <f t="shared" si="4"/>
        <v>9814901.8536325991</v>
      </c>
      <c r="E24" s="22">
        <f t="shared" si="1"/>
        <v>13642.713576549313</v>
      </c>
      <c r="F24" s="23">
        <f t="shared" si="5"/>
        <v>4844911.5599191571</v>
      </c>
      <c r="G24" s="23">
        <f>SUM(F24:F$127)</f>
        <v>109253137.97630507</v>
      </c>
      <c r="H24" s="23">
        <f>SUM(G24:$G$127)</f>
        <v>2093161378.1232812</v>
      </c>
      <c r="I24" s="23">
        <f t="shared" si="6"/>
        <v>6475.4106425842583</v>
      </c>
      <c r="J24" s="23">
        <f>SUM(I24:I$127)</f>
        <v>642867.79159972514</v>
      </c>
      <c r="K24" s="23">
        <f>SUM(J24:J$127)</f>
        <v>28746931.125409566</v>
      </c>
      <c r="L24" s="24">
        <f t="shared" si="2"/>
        <v>1.3365384615384617E-3</v>
      </c>
    </row>
    <row r="25" spans="1:12" x14ac:dyDescent="0.25">
      <c r="A25" s="20">
        <f t="shared" si="3"/>
        <v>19</v>
      </c>
      <c r="B25" s="21">
        <f>VLOOKUP(A25,'qx''ler'!$1:$1048576,MATCH(komutasyon_tablo!$A$3,'qx''ler'!$1:$1,0),FALSE)</f>
        <v>1.4400000000000001E-3</v>
      </c>
      <c r="C25" s="21">
        <f t="shared" si="0"/>
        <v>0.99856</v>
      </c>
      <c r="D25" s="22">
        <f t="shared" si="4"/>
        <v>9801259.1400560495</v>
      </c>
      <c r="E25" s="22">
        <f t="shared" si="1"/>
        <v>14113.813161680711</v>
      </c>
      <c r="F25" s="23">
        <f t="shared" si="5"/>
        <v>4652093.3969719894</v>
      </c>
      <c r="G25" s="23">
        <f>SUM(F25:F$127)</f>
        <v>104408226.41638589</v>
      </c>
      <c r="H25" s="23">
        <f>SUM(G25:$G$127)</f>
        <v>1983908240.146976</v>
      </c>
      <c r="I25" s="23">
        <f t="shared" si="6"/>
        <v>6441.3600881150624</v>
      </c>
      <c r="J25" s="23">
        <f>SUM(I25:I$127)</f>
        <v>636392.38095714094</v>
      </c>
      <c r="K25" s="23">
        <f>SUM(J25:J$127)</f>
        <v>28104063.333809841</v>
      </c>
      <c r="L25" s="24">
        <f t="shared" si="2"/>
        <v>1.3846153846153845E-3</v>
      </c>
    </row>
    <row r="26" spans="1:12" x14ac:dyDescent="0.25">
      <c r="A26" s="20">
        <f t="shared" si="3"/>
        <v>20</v>
      </c>
      <c r="B26" s="21">
        <f>VLOOKUP(A26,'qx''ler'!$1:$1048576,MATCH(komutasyon_tablo!$A$3,'qx''ler'!$1:$1,0),FALSE)</f>
        <v>1.48E-3</v>
      </c>
      <c r="C26" s="21">
        <f t="shared" si="0"/>
        <v>0.99851999999999996</v>
      </c>
      <c r="D26" s="22">
        <f t="shared" si="4"/>
        <v>9787145.326894369</v>
      </c>
      <c r="E26" s="22">
        <f t="shared" si="1"/>
        <v>14484.975083803665</v>
      </c>
      <c r="F26" s="23">
        <f t="shared" si="5"/>
        <v>4466725.3677695673</v>
      </c>
      <c r="G26" s="23">
        <f>SUM(F26:F$127)</f>
        <v>99756133.019413888</v>
      </c>
      <c r="H26" s="23">
        <f>SUM(G26:$G$127)</f>
        <v>1879500013.7305901</v>
      </c>
      <c r="I26" s="23">
        <f t="shared" si="6"/>
        <v>6356.4937925951517</v>
      </c>
      <c r="J26" s="23">
        <f>SUM(I26:I$127)</f>
        <v>629951.02086902584</v>
      </c>
      <c r="K26" s="23">
        <f>SUM(J26:J$127)</f>
        <v>27467670.952852696</v>
      </c>
      <c r="L26" s="24">
        <f t="shared" si="2"/>
        <v>1.4230769230769227E-3</v>
      </c>
    </row>
    <row r="27" spans="1:12" x14ac:dyDescent="0.25">
      <c r="A27" s="20">
        <f t="shared" si="3"/>
        <v>21</v>
      </c>
      <c r="B27" s="21">
        <f>VLOOKUP(A27,'qx''ler'!$1:$1048576,MATCH(komutasyon_tablo!$A$3,'qx''ler'!$1:$1,0),FALSE)</f>
        <v>1.49E-3</v>
      </c>
      <c r="C27" s="21">
        <f t="shared" si="0"/>
        <v>0.99851000000000001</v>
      </c>
      <c r="D27" s="22">
        <f t="shared" si="4"/>
        <v>9772660.3518105652</v>
      </c>
      <c r="E27" s="22">
        <f t="shared" si="1"/>
        <v>14561.263924197743</v>
      </c>
      <c r="F27" s="23">
        <f t="shared" si="5"/>
        <v>4288571.7444473719</v>
      </c>
      <c r="G27" s="23">
        <f>SUM(F27:F$127)</f>
        <v>95289407.651644349</v>
      </c>
      <c r="H27" s="23">
        <f>SUM(G27:$G$127)</f>
        <v>1779743880.7111764</v>
      </c>
      <c r="I27" s="23">
        <f t="shared" si="6"/>
        <v>6144.2037492563322</v>
      </c>
      <c r="J27" s="23">
        <f>SUM(I27:I$127)</f>
        <v>623594.52707643062</v>
      </c>
      <c r="K27" s="23">
        <f>SUM(J27:J$127)</f>
        <v>26837719.931983672</v>
      </c>
      <c r="L27" s="24">
        <f t="shared" si="2"/>
        <v>1.432692307692308E-3</v>
      </c>
    </row>
    <row r="28" spans="1:12" x14ac:dyDescent="0.25">
      <c r="A28" s="20">
        <f t="shared" si="3"/>
        <v>22</v>
      </c>
      <c r="B28" s="21">
        <f>VLOOKUP(A28,'qx''ler'!$1:$1048576,MATCH(komutasyon_tablo!$A$3,'qx''ler'!$1:$1,0),FALSE)</f>
        <v>1.5E-3</v>
      </c>
      <c r="C28" s="21">
        <f t="shared" si="0"/>
        <v>0.99850000000000005</v>
      </c>
      <c r="D28" s="22">
        <f t="shared" si="4"/>
        <v>9758099.087886367</v>
      </c>
      <c r="E28" s="22">
        <f t="shared" si="1"/>
        <v>14637.14863182955</v>
      </c>
      <c r="F28" s="23">
        <f t="shared" si="5"/>
        <v>4117482.4736039862</v>
      </c>
      <c r="G28" s="23">
        <f>SUM(F28:F$127)</f>
        <v>91000835.907196984</v>
      </c>
      <c r="H28" s="23">
        <f>SUM(G28:$G$127)</f>
        <v>1684454473.0595319</v>
      </c>
      <c r="I28" s="23">
        <f t="shared" si="6"/>
        <v>5938.6766446211341</v>
      </c>
      <c r="J28" s="23">
        <f>SUM(I28:I$127)</f>
        <v>617450.32332717429</v>
      </c>
      <c r="K28" s="23">
        <f>SUM(J28:J$127)</f>
        <v>26214125.404907238</v>
      </c>
      <c r="L28" s="24">
        <f t="shared" si="2"/>
        <v>1.4423076923076924E-3</v>
      </c>
    </row>
    <row r="29" spans="1:12" x14ac:dyDescent="0.25">
      <c r="A29" s="20">
        <f t="shared" si="3"/>
        <v>23</v>
      </c>
      <c r="B29" s="21">
        <f>VLOOKUP(A29,'qx''ler'!$1:$1048576,MATCH(komutasyon_tablo!$A$3,'qx''ler'!$1:$1,0),FALSE)</f>
        <v>1.49E-3</v>
      </c>
      <c r="C29" s="21">
        <f t="shared" si="0"/>
        <v>0.99851000000000001</v>
      </c>
      <c r="D29" s="22">
        <f t="shared" si="4"/>
        <v>9743461.9392545372</v>
      </c>
      <c r="E29" s="22">
        <f t="shared" si="1"/>
        <v>14517.75828948926</v>
      </c>
      <c r="F29" s="23">
        <f t="shared" si="5"/>
        <v>3953179.0864361352</v>
      </c>
      <c r="G29" s="23">
        <f>SUM(F29:F$127)</f>
        <v>86883353.433593005</v>
      </c>
      <c r="H29" s="23">
        <f>SUM(G29:$G$127)</f>
        <v>1593453637.1523352</v>
      </c>
      <c r="I29" s="23">
        <f t="shared" si="6"/>
        <v>5663.6892680671554</v>
      </c>
      <c r="J29" s="23">
        <f>SUM(I29:I$127)</f>
        <v>611511.64668255311</v>
      </c>
      <c r="K29" s="23">
        <f>SUM(J29:J$127)</f>
        <v>25596675.081580061</v>
      </c>
      <c r="L29" s="24">
        <f t="shared" si="2"/>
        <v>1.4326923076923078E-3</v>
      </c>
    </row>
    <row r="30" spans="1:12" x14ac:dyDescent="0.25">
      <c r="A30" s="20">
        <f t="shared" si="3"/>
        <v>24</v>
      </c>
      <c r="B30" s="21">
        <f>VLOOKUP(A30,'qx''ler'!$1:$1048576,MATCH(komutasyon_tablo!$A$3,'qx''ler'!$1:$1,0),FALSE)</f>
        <v>1.49E-3</v>
      </c>
      <c r="C30" s="21">
        <f t="shared" si="0"/>
        <v>0.99851000000000001</v>
      </c>
      <c r="D30" s="22">
        <f t="shared" si="4"/>
        <v>9728944.1809650473</v>
      </c>
      <c r="E30" s="22">
        <f t="shared" si="1"/>
        <v>14496.12682963792</v>
      </c>
      <c r="F30" s="23">
        <f t="shared" si="5"/>
        <v>3795470.047689755</v>
      </c>
      <c r="G30" s="23">
        <f>SUM(F30:F$127)</f>
        <v>82930174.347156867</v>
      </c>
      <c r="H30" s="23">
        <f>SUM(G30:$G$127)</f>
        <v>1506570283.7187421</v>
      </c>
      <c r="I30" s="23">
        <f t="shared" si="6"/>
        <v>5437.7407414016661</v>
      </c>
      <c r="J30" s="23">
        <f>SUM(I30:I$127)</f>
        <v>605847.95741448598</v>
      </c>
      <c r="K30" s="23">
        <f>SUM(J30:J$127)</f>
        <v>24985163.434897508</v>
      </c>
      <c r="L30" s="24">
        <f t="shared" si="2"/>
        <v>1.4326923076923071E-3</v>
      </c>
    </row>
    <row r="31" spans="1:12" x14ac:dyDescent="0.25">
      <c r="A31" s="20">
        <f t="shared" si="3"/>
        <v>25</v>
      </c>
      <c r="B31" s="21">
        <f>VLOOKUP(A31,'qx''ler'!$1:$1048576,MATCH(komutasyon_tablo!$A$3,'qx''ler'!$1:$1,0),FALSE)</f>
        <v>1.47E-3</v>
      </c>
      <c r="C31" s="21">
        <f t="shared" si="0"/>
        <v>0.99853000000000003</v>
      </c>
      <c r="D31" s="22">
        <f t="shared" si="4"/>
        <v>9714448.0541354101</v>
      </c>
      <c r="E31" s="22">
        <f t="shared" si="1"/>
        <v>14280.238639579053</v>
      </c>
      <c r="F31" s="23">
        <f t="shared" si="5"/>
        <v>3644052.6897295159</v>
      </c>
      <c r="G31" s="23">
        <f>SUM(F31:F$127)</f>
        <v>79134704.299467087</v>
      </c>
      <c r="H31" s="23">
        <f>SUM(G31:$G$127)</f>
        <v>1423640109.3715851</v>
      </c>
      <c r="I31" s="23">
        <f t="shared" si="6"/>
        <v>5150.728321059989</v>
      </c>
      <c r="J31" s="23">
        <f>SUM(I31:I$127)</f>
        <v>600410.2166730843</v>
      </c>
      <c r="K31" s="23">
        <f>SUM(J31:J$127)</f>
        <v>24379315.477483019</v>
      </c>
      <c r="L31" s="24">
        <f t="shared" si="2"/>
        <v>1.4134615384615386E-3</v>
      </c>
    </row>
    <row r="32" spans="1:12" x14ac:dyDescent="0.25">
      <c r="A32" s="20">
        <f t="shared" si="3"/>
        <v>26</v>
      </c>
      <c r="B32" s="21">
        <f>VLOOKUP(A32,'qx''ler'!$1:$1048576,MATCH(komutasyon_tablo!$A$3,'qx''ler'!$1:$1,0),FALSE)</f>
        <v>1.47E-3</v>
      </c>
      <c r="C32" s="21">
        <f t="shared" si="0"/>
        <v>0.99853000000000003</v>
      </c>
      <c r="D32" s="22">
        <f t="shared" si="4"/>
        <v>9700167.8154958319</v>
      </c>
      <c r="E32" s="22">
        <f t="shared" si="1"/>
        <v>14259.246688778872</v>
      </c>
      <c r="F32" s="23">
        <f t="shared" si="5"/>
        <v>3498746.0887265522</v>
      </c>
      <c r="G32" s="23">
        <f>SUM(F32:F$127)</f>
        <v>75490651.60973756</v>
      </c>
      <c r="H32" s="23">
        <f>SUM(G32:$G$127)</f>
        <v>1344505405.072118</v>
      </c>
      <c r="I32" s="23">
        <f t="shared" si="6"/>
        <v>4945.3430292577223</v>
      </c>
      <c r="J32" s="23">
        <f>SUM(I32:I$127)</f>
        <v>595259.48835202435</v>
      </c>
      <c r="K32" s="23">
        <f>SUM(J32:J$127)</f>
        <v>23778905.260809936</v>
      </c>
      <c r="L32" s="24">
        <f t="shared" si="2"/>
        <v>1.4134615384615383E-3</v>
      </c>
    </row>
    <row r="33" spans="1:12" x14ac:dyDescent="0.25">
      <c r="A33" s="20">
        <f t="shared" si="3"/>
        <v>27</v>
      </c>
      <c r="B33" s="21">
        <f>VLOOKUP(A33,'qx''ler'!$1:$1048576,MATCH(komutasyon_tablo!$A$3,'qx''ler'!$1:$1,0),FALSE)</f>
        <v>1.4599999999999999E-3</v>
      </c>
      <c r="C33" s="21">
        <f t="shared" si="0"/>
        <v>0.99853999999999998</v>
      </c>
      <c r="D33" s="22">
        <f t="shared" si="4"/>
        <v>9685908.5688070524</v>
      </c>
      <c r="E33" s="22">
        <f t="shared" si="1"/>
        <v>14141.426510458296</v>
      </c>
      <c r="F33" s="23">
        <f t="shared" si="5"/>
        <v>3359233.5884385803</v>
      </c>
      <c r="G33" s="23">
        <f>SUM(F33:F$127)</f>
        <v>71991905.521011025</v>
      </c>
      <c r="H33" s="23">
        <f>SUM(G33:$G$127)</f>
        <v>1269014753.4623806</v>
      </c>
      <c r="I33" s="23">
        <f t="shared" si="6"/>
        <v>4715.8471530003135</v>
      </c>
      <c r="J33" s="23">
        <f>SUM(I33:I$127)</f>
        <v>590314.14532276662</v>
      </c>
      <c r="K33" s="23">
        <f>SUM(J33:J$127)</f>
        <v>23183645.772457905</v>
      </c>
      <c r="L33" s="24">
        <f t="shared" si="2"/>
        <v>1.4038461538461535E-3</v>
      </c>
    </row>
    <row r="34" spans="1:12" x14ac:dyDescent="0.25">
      <c r="A34" s="20">
        <f t="shared" si="3"/>
        <v>28</v>
      </c>
      <c r="B34" s="21">
        <f>VLOOKUP(A34,'qx''ler'!$1:$1048576,MATCH(komutasyon_tablo!$A$3,'qx''ler'!$1:$1,0),FALSE)</f>
        <v>1.48E-3</v>
      </c>
      <c r="C34" s="21">
        <f t="shared" si="0"/>
        <v>0.99851999999999996</v>
      </c>
      <c r="D34" s="22">
        <f t="shared" si="4"/>
        <v>9671767.1422965936</v>
      </c>
      <c r="E34" s="22">
        <f t="shared" si="1"/>
        <v>14314.215370598959</v>
      </c>
      <c r="F34" s="23">
        <f t="shared" si="5"/>
        <v>3225316.4494225569</v>
      </c>
      <c r="G34" s="23">
        <f>SUM(F34:F$127)</f>
        <v>68632671.932572454</v>
      </c>
      <c r="H34" s="23">
        <f>SUM(G34:$G$127)</f>
        <v>1197022847.9413695</v>
      </c>
      <c r="I34" s="23">
        <f t="shared" si="6"/>
        <v>4589.8734087936382</v>
      </c>
      <c r="J34" s="23">
        <f>SUM(I34:I$127)</f>
        <v>585598.29816976644</v>
      </c>
      <c r="K34" s="23">
        <f>SUM(J34:J$127)</f>
        <v>22593331.627135143</v>
      </c>
      <c r="L34" s="24">
        <f t="shared" si="2"/>
        <v>1.423076923076923E-3</v>
      </c>
    </row>
    <row r="35" spans="1:12" x14ac:dyDescent="0.25">
      <c r="A35" s="20">
        <f t="shared" si="3"/>
        <v>29</v>
      </c>
      <c r="B35" s="21">
        <f>VLOOKUP(A35,'qx''ler'!$1:$1048576,MATCH(komutasyon_tablo!$A$3,'qx''ler'!$1:$1,0),FALSE)</f>
        <v>1.5100000000000001E-3</v>
      </c>
      <c r="C35" s="21">
        <f t="shared" si="0"/>
        <v>0.99848999999999999</v>
      </c>
      <c r="D35" s="22">
        <f t="shared" si="4"/>
        <v>9657452.9269259945</v>
      </c>
      <c r="E35" s="22">
        <f t="shared" si="1"/>
        <v>14582.753919658253</v>
      </c>
      <c r="F35" s="23">
        <f t="shared" si="5"/>
        <v>3096675.9433436645</v>
      </c>
      <c r="G35" s="23">
        <f>SUM(F35:F$127)</f>
        <v>65407355.483149938</v>
      </c>
      <c r="H35" s="23">
        <f>SUM(G35:$G$127)</f>
        <v>1128390176.0087969</v>
      </c>
      <c r="I35" s="23">
        <f t="shared" si="6"/>
        <v>4496.1352638932067</v>
      </c>
      <c r="J35" s="23">
        <f>SUM(I35:I$127)</f>
        <v>581008.42476097273</v>
      </c>
      <c r="K35" s="23">
        <f>SUM(J35:J$127)</f>
        <v>22007733.328965377</v>
      </c>
      <c r="L35" s="24">
        <f t="shared" si="2"/>
        <v>1.4519230769230774E-3</v>
      </c>
    </row>
    <row r="36" spans="1:12" x14ac:dyDescent="0.25">
      <c r="A36" s="20">
        <f t="shared" si="3"/>
        <v>30</v>
      </c>
      <c r="B36" s="21">
        <f>VLOOKUP(A36,'qx''ler'!$1:$1048576,MATCH(komutasyon_tablo!$A$3,'qx''ler'!$1:$1,0),FALSE)</f>
        <v>1.5399999999999999E-3</v>
      </c>
      <c r="C36" s="21">
        <f t="shared" si="0"/>
        <v>0.99846000000000001</v>
      </c>
      <c r="D36" s="22">
        <f t="shared" si="4"/>
        <v>9642870.1730063353</v>
      </c>
      <c r="E36" s="22">
        <f t="shared" si="1"/>
        <v>14850.020066429755</v>
      </c>
      <c r="F36" s="23">
        <f t="shared" si="5"/>
        <v>2973076.8871819386</v>
      </c>
      <c r="G36" s="23">
        <f>SUM(F36:F$127)</f>
        <v>62310679.539806269</v>
      </c>
      <c r="H36" s="23">
        <f>SUM(G36:$G$127)</f>
        <v>1062982820.525647</v>
      </c>
      <c r="I36" s="23">
        <f t="shared" si="6"/>
        <v>4402.4407752501775</v>
      </c>
      <c r="J36" s="23">
        <f>SUM(I36:I$127)</f>
        <v>576512.28949707956</v>
      </c>
      <c r="K36" s="23">
        <f>SUM(J36:J$127)</f>
        <v>21426724.904204402</v>
      </c>
      <c r="L36" s="24">
        <f t="shared" si="2"/>
        <v>1.4807692307692304E-3</v>
      </c>
    </row>
    <row r="37" spans="1:12" x14ac:dyDescent="0.25">
      <c r="A37" s="20">
        <f t="shared" si="3"/>
        <v>31</v>
      </c>
      <c r="B37" s="21">
        <f>VLOOKUP(A37,'qx''ler'!$1:$1048576,MATCH(komutasyon_tablo!$A$3,'qx''ler'!$1:$1,0),FALSE)</f>
        <v>1.58E-3</v>
      </c>
      <c r="C37" s="21">
        <f t="shared" si="0"/>
        <v>0.99841999999999997</v>
      </c>
      <c r="D37" s="22">
        <f t="shared" si="4"/>
        <v>9628020.1529399063</v>
      </c>
      <c r="E37" s="22">
        <f t="shared" si="1"/>
        <v>15212.271841645052</v>
      </c>
      <c r="F37" s="23">
        <f t="shared" si="5"/>
        <v>2854325.3353612288</v>
      </c>
      <c r="G37" s="23">
        <f>SUM(F37:F$127)</f>
        <v>59337602.652624331</v>
      </c>
      <c r="H37" s="23">
        <f>SUM(G37:$G$127)</f>
        <v>1000672140.9858407</v>
      </c>
      <c r="I37" s="23">
        <f t="shared" si="6"/>
        <v>4336.3788748757133</v>
      </c>
      <c r="J37" s="23">
        <f>SUM(I37:I$127)</f>
        <v>572109.84872182948</v>
      </c>
      <c r="K37" s="23">
        <f>SUM(J37:J$127)</f>
        <v>20850212.614707325</v>
      </c>
      <c r="L37" s="24">
        <f t="shared" si="2"/>
        <v>1.5192307692307695E-3</v>
      </c>
    </row>
    <row r="38" spans="1:12" x14ac:dyDescent="0.25">
      <c r="A38" s="20">
        <f t="shared" si="3"/>
        <v>32</v>
      </c>
      <c r="B38" s="21">
        <f>VLOOKUP(A38,'qx''ler'!$1:$1048576,MATCH(komutasyon_tablo!$A$3,'qx''ler'!$1:$1,0),FALSE)</f>
        <v>1.64E-3</v>
      </c>
      <c r="C38" s="21">
        <f t="shared" si="0"/>
        <v>0.99836000000000003</v>
      </c>
      <c r="D38" s="22">
        <f t="shared" si="4"/>
        <v>9612807.8810982611</v>
      </c>
      <c r="E38" s="22">
        <f t="shared" si="1"/>
        <v>15765.004925001147</v>
      </c>
      <c r="F38" s="23">
        <f t="shared" si="5"/>
        <v>2740207.2128186137</v>
      </c>
      <c r="G38" s="23">
        <f>SUM(F38:F$127)</f>
        <v>56483277.317263104</v>
      </c>
      <c r="H38" s="23">
        <f>SUM(G38:$G$127)</f>
        <v>941334538.33321643</v>
      </c>
      <c r="I38" s="23">
        <f t="shared" si="6"/>
        <v>4321.095989444736</v>
      </c>
      <c r="J38" s="23">
        <f>SUM(I38:I$127)</f>
        <v>567773.46984695375</v>
      </c>
      <c r="K38" s="23">
        <f>SUM(J38:J$127)</f>
        <v>20278102.765985493</v>
      </c>
      <c r="L38" s="24">
        <f t="shared" si="2"/>
        <v>1.5769230769230765E-3</v>
      </c>
    </row>
    <row r="39" spans="1:12" x14ac:dyDescent="0.25">
      <c r="A39" s="20">
        <f t="shared" si="3"/>
        <v>33</v>
      </c>
      <c r="B39" s="21">
        <f>VLOOKUP(A39,'qx''ler'!$1:$1048576,MATCH(komutasyon_tablo!$A$3,'qx''ler'!$1:$1,0),FALSE)</f>
        <v>1.6999999999999999E-3</v>
      </c>
      <c r="C39" s="21">
        <f t="shared" si="0"/>
        <v>0.99829999999999997</v>
      </c>
      <c r="D39" s="22">
        <f t="shared" si="4"/>
        <v>9597042.8761732597</v>
      </c>
      <c r="E39" s="22">
        <f t="shared" si="1"/>
        <v>16314.97288949454</v>
      </c>
      <c r="F39" s="23">
        <f t="shared" si="5"/>
        <v>2630493.5317207603</v>
      </c>
      <c r="G39" s="23">
        <f>SUM(F39:F$127)</f>
        <v>53743070.104444489</v>
      </c>
      <c r="H39" s="23">
        <f>SUM(G39:$G$127)</f>
        <v>884851261.01595342</v>
      </c>
      <c r="I39" s="23">
        <f t="shared" si="6"/>
        <v>4299.8451960820121</v>
      </c>
      <c r="J39" s="23">
        <f>SUM(I39:I$127)</f>
        <v>563452.373857509</v>
      </c>
      <c r="K39" s="23">
        <f>SUM(J39:J$127)</f>
        <v>19710329.29613854</v>
      </c>
      <c r="L39" s="24">
        <f t="shared" si="2"/>
        <v>1.6346153846153847E-3</v>
      </c>
    </row>
    <row r="40" spans="1:12" x14ac:dyDescent="0.25">
      <c r="A40" s="20">
        <f t="shared" si="3"/>
        <v>34</v>
      </c>
      <c r="B40" s="21">
        <f>VLOOKUP(A40,'qx''ler'!$1:$1048576,MATCH(komutasyon_tablo!$A$3,'qx''ler'!$1:$1,0),FALSE)</f>
        <v>1.7899999999999999E-3</v>
      </c>
      <c r="C40" s="21">
        <f t="shared" si="0"/>
        <v>0.99821000000000004</v>
      </c>
      <c r="D40" s="22">
        <f t="shared" si="4"/>
        <v>9580727.9032837655</v>
      </c>
      <c r="E40" s="22">
        <f t="shared" si="1"/>
        <v>17149.502946877939</v>
      </c>
      <c r="F40" s="23">
        <f t="shared" si="5"/>
        <v>2525020.8583815722</v>
      </c>
      <c r="G40" s="23">
        <f>SUM(F40:F$127)</f>
        <v>51112576.572723724</v>
      </c>
      <c r="H40" s="23">
        <f>SUM(G40:$G$127)</f>
        <v>831108190.91150892</v>
      </c>
      <c r="I40" s="23">
        <f t="shared" si="6"/>
        <v>4345.9493620221283</v>
      </c>
      <c r="J40" s="23">
        <f>SUM(I40:I$127)</f>
        <v>559152.52866142697</v>
      </c>
      <c r="K40" s="23">
        <f>SUM(J40:J$127)</f>
        <v>19146876.922281031</v>
      </c>
      <c r="L40" s="24">
        <f t="shared" si="2"/>
        <v>1.7211538461538458E-3</v>
      </c>
    </row>
    <row r="41" spans="1:12" x14ac:dyDescent="0.25">
      <c r="A41" s="20">
        <f t="shared" si="3"/>
        <v>35</v>
      </c>
      <c r="B41" s="21">
        <f>VLOOKUP(A41,'qx''ler'!$1:$1048576,MATCH(komutasyon_tablo!$A$3,'qx''ler'!$1:$1,0),FALSE)</f>
        <v>1.8799999999999999E-3</v>
      </c>
      <c r="C41" s="21">
        <f t="shared" si="0"/>
        <v>0.99812000000000001</v>
      </c>
      <c r="D41" s="22">
        <f t="shared" si="4"/>
        <v>9563578.4003368877</v>
      </c>
      <c r="E41" s="22">
        <f t="shared" si="1"/>
        <v>17979.527392633347</v>
      </c>
      <c r="F41" s="23">
        <f t="shared" si="5"/>
        <v>2423558.7221587203</v>
      </c>
      <c r="G41" s="23">
        <f>SUM(F41:F$127)</f>
        <v>48587555.714342155</v>
      </c>
      <c r="H41" s="23">
        <f>SUM(G41:$G$127)</f>
        <v>779995614.33878529</v>
      </c>
      <c r="I41" s="23">
        <f t="shared" si="6"/>
        <v>4381.048459286917</v>
      </c>
      <c r="J41" s="23">
        <f>SUM(I41:I$127)</f>
        <v>554806.57929940475</v>
      </c>
      <c r="K41" s="23">
        <f>SUM(J41:J$127)</f>
        <v>18587724.393619601</v>
      </c>
      <c r="L41" s="24">
        <f t="shared" si="2"/>
        <v>1.8076923076923075E-3</v>
      </c>
    </row>
    <row r="42" spans="1:12" x14ac:dyDescent="0.25">
      <c r="A42" s="20">
        <f t="shared" si="3"/>
        <v>36</v>
      </c>
      <c r="B42" s="21">
        <f>VLOOKUP(A42,'qx''ler'!$1:$1048576,MATCH(komutasyon_tablo!$A$3,'qx''ler'!$1:$1,0),FALSE)</f>
        <v>2E-3</v>
      </c>
      <c r="C42" s="21">
        <f t="shared" si="0"/>
        <v>0.998</v>
      </c>
      <c r="D42" s="22">
        <f t="shared" si="4"/>
        <v>9545598.8729442544</v>
      </c>
      <c r="E42" s="22">
        <f t="shared" si="1"/>
        <v>19091.197745888509</v>
      </c>
      <c r="F42" s="23">
        <f t="shared" si="5"/>
        <v>2325963.8766933288</v>
      </c>
      <c r="G42" s="23">
        <f>SUM(F42:F$127)</f>
        <v>46163996.992183439</v>
      </c>
      <c r="H42" s="23">
        <f>SUM(G42:$G$127)</f>
        <v>731408058.62444317</v>
      </c>
      <c r="I42" s="23">
        <f t="shared" si="6"/>
        <v>4473.0074551794778</v>
      </c>
      <c r="J42" s="23">
        <f>SUM(I42:I$127)</f>
        <v>550425.53084011783</v>
      </c>
      <c r="K42" s="23">
        <f>SUM(J42:J$127)</f>
        <v>18032917.814320199</v>
      </c>
      <c r="L42" s="24">
        <f t="shared" si="2"/>
        <v>1.9230769230769227E-3</v>
      </c>
    </row>
    <row r="43" spans="1:12" x14ac:dyDescent="0.25">
      <c r="A43" s="20">
        <f t="shared" si="3"/>
        <v>37</v>
      </c>
      <c r="B43" s="21">
        <f>VLOOKUP(A43,'qx''ler'!$1:$1048576,MATCH(komutasyon_tablo!$A$3,'qx''ler'!$1:$1,0),FALSE)</f>
        <v>2.14E-3</v>
      </c>
      <c r="C43" s="21">
        <f t="shared" si="0"/>
        <v>0.99785999999999997</v>
      </c>
      <c r="D43" s="22">
        <f t="shared" si="4"/>
        <v>9526507.675198365</v>
      </c>
      <c r="E43" s="22">
        <f t="shared" si="1"/>
        <v>20386.726424924502</v>
      </c>
      <c r="F43" s="23">
        <f t="shared" si="5"/>
        <v>2232030.7201345591</v>
      </c>
      <c r="G43" s="23">
        <f>SUM(F43:F$127)</f>
        <v>43838033.115490109</v>
      </c>
      <c r="H43" s="23">
        <f>SUM(G43:$G$127)</f>
        <v>685244061.63225973</v>
      </c>
      <c r="I43" s="23">
        <f t="shared" si="6"/>
        <v>4592.8324433538046</v>
      </c>
      <c r="J43" s="23">
        <f>SUM(I43:I$127)</f>
        <v>545952.52338493825</v>
      </c>
      <c r="K43" s="23">
        <f>SUM(J43:J$127)</f>
        <v>17482492.283480078</v>
      </c>
      <c r="L43" s="24">
        <f t="shared" si="2"/>
        <v>2.0576923076923077E-3</v>
      </c>
    </row>
    <row r="44" spans="1:12" x14ac:dyDescent="0.25">
      <c r="A44" s="20">
        <f t="shared" si="3"/>
        <v>38</v>
      </c>
      <c r="B44" s="21">
        <f>VLOOKUP(A44,'qx''ler'!$1:$1048576,MATCH(komutasyon_tablo!$A$3,'qx''ler'!$1:$1,0),FALSE)</f>
        <v>2.31E-3</v>
      </c>
      <c r="C44" s="21">
        <f t="shared" si="0"/>
        <v>0.99768999999999997</v>
      </c>
      <c r="D44" s="22">
        <f t="shared" si="4"/>
        <v>9506120.94877344</v>
      </c>
      <c r="E44" s="22">
        <f t="shared" si="1"/>
        <v>21959.139391666646</v>
      </c>
      <c r="F44" s="23">
        <f t="shared" si="5"/>
        <v>2141590.5523014148</v>
      </c>
      <c r="G44" s="23">
        <f>SUM(F44:F$127)</f>
        <v>41606002.395355552</v>
      </c>
      <c r="H44" s="23">
        <f>SUM(G44:$G$127)</f>
        <v>641406028.51676977</v>
      </c>
      <c r="I44" s="23">
        <f t="shared" si="6"/>
        <v>4756.8020921310272</v>
      </c>
      <c r="J44" s="23">
        <f>SUM(I44:I$127)</f>
        <v>541359.69094158453</v>
      </c>
      <c r="K44" s="23">
        <f>SUM(J44:J$127)</f>
        <v>16936539.760095142</v>
      </c>
      <c r="L44" s="24">
        <f t="shared" si="2"/>
        <v>2.2211538461538462E-3</v>
      </c>
    </row>
    <row r="45" spans="1:12" x14ac:dyDescent="0.25">
      <c r="A45" s="20">
        <f t="shared" si="3"/>
        <v>39</v>
      </c>
      <c r="B45" s="21">
        <f>VLOOKUP(A45,'qx''ler'!$1:$1048576,MATCH(komutasyon_tablo!$A$3,'qx''ler'!$1:$1,0),FALSE)</f>
        <v>2.5100000000000001E-3</v>
      </c>
      <c r="C45" s="21">
        <f t="shared" si="0"/>
        <v>0.99748999999999999</v>
      </c>
      <c r="D45" s="22">
        <f t="shared" si="4"/>
        <v>9484161.8093817737</v>
      </c>
      <c r="E45" s="22">
        <f t="shared" si="1"/>
        <v>23805.246141548254</v>
      </c>
      <c r="F45" s="23">
        <f t="shared" si="5"/>
        <v>2054464.8828130758</v>
      </c>
      <c r="G45" s="23">
        <f>SUM(F45:F$127)</f>
        <v>39464411.843054131</v>
      </c>
      <c r="H45" s="23">
        <f>SUM(G45:$G$127)</f>
        <v>599800026.12141418</v>
      </c>
      <c r="I45" s="23">
        <f t="shared" si="6"/>
        <v>4958.3719767892489</v>
      </c>
      <c r="J45" s="23">
        <f>SUM(I45:I$127)</f>
        <v>536602.88884945353</v>
      </c>
      <c r="K45" s="23">
        <f>SUM(J45:J$127)</f>
        <v>16395180.069153557</v>
      </c>
      <c r="L45" s="24">
        <f t="shared" si="2"/>
        <v>2.4134615384615379E-3</v>
      </c>
    </row>
    <row r="46" spans="1:12" x14ac:dyDescent="0.25">
      <c r="A46" s="20">
        <f t="shared" si="3"/>
        <v>40</v>
      </c>
      <c r="B46" s="21">
        <f>VLOOKUP(A46,'qx''ler'!$1:$1048576,MATCH(komutasyon_tablo!$A$3,'qx''ler'!$1:$1,0),FALSE)</f>
        <v>2.7200000000000002E-3</v>
      </c>
      <c r="C46" s="21">
        <f t="shared" si="0"/>
        <v>0.99727999999999994</v>
      </c>
      <c r="D46" s="22">
        <f t="shared" si="4"/>
        <v>9460356.5632402264</v>
      </c>
      <c r="E46" s="22">
        <f t="shared" si="1"/>
        <v>25732.169852013416</v>
      </c>
      <c r="F46" s="23">
        <f t="shared" si="5"/>
        <v>1970488.6307280906</v>
      </c>
      <c r="G46" s="23">
        <f>SUM(F46:F$127)</f>
        <v>37409946.96024105</v>
      </c>
      <c r="H46" s="23">
        <f>SUM(G46:$G$127)</f>
        <v>560335614.27835989</v>
      </c>
      <c r="I46" s="23">
        <f t="shared" si="6"/>
        <v>5153.5856495965445</v>
      </c>
      <c r="J46" s="23">
        <f>SUM(I46:I$127)</f>
        <v>531644.5168726641</v>
      </c>
      <c r="K46" s="23">
        <f>SUM(J46:J$127)</f>
        <v>15858577.180304104</v>
      </c>
      <c r="L46" s="24">
        <f t="shared" si="2"/>
        <v>2.6153846153846153E-3</v>
      </c>
    </row>
    <row r="47" spans="1:12" x14ac:dyDescent="0.25">
      <c r="A47" s="20">
        <f t="shared" si="3"/>
        <v>41</v>
      </c>
      <c r="B47" s="21">
        <f>VLOOKUP(A47,'qx''ler'!$1:$1048576,MATCH(komutasyon_tablo!$A$3,'qx''ler'!$1:$1,0),FALSE)</f>
        <v>2.97E-3</v>
      </c>
      <c r="C47" s="21">
        <f t="shared" si="0"/>
        <v>0.99702999999999997</v>
      </c>
      <c r="D47" s="22">
        <f t="shared" si="4"/>
        <v>9434624.3933882136</v>
      </c>
      <c r="E47" s="22">
        <f t="shared" si="1"/>
        <v>28020.834448362995</v>
      </c>
      <c r="F47" s="23">
        <f t="shared" si="5"/>
        <v>1889547.0208197215</v>
      </c>
      <c r="G47" s="23">
        <f>SUM(F47:F$127)</f>
        <v>35439458.329512961</v>
      </c>
      <c r="H47" s="23">
        <f>SUM(G47:$G$127)</f>
        <v>522925667.31811863</v>
      </c>
      <c r="I47" s="23">
        <f t="shared" si="6"/>
        <v>5396.1102421486285</v>
      </c>
      <c r="J47" s="23">
        <f>SUM(I47:I$127)</f>
        <v>526490.93122306757</v>
      </c>
      <c r="K47" s="23">
        <f>SUM(J47:J$127)</f>
        <v>15326932.66343144</v>
      </c>
      <c r="L47" s="24">
        <f t="shared" si="2"/>
        <v>2.8557692307692312E-3</v>
      </c>
    </row>
    <row r="48" spans="1:12" x14ac:dyDescent="0.25">
      <c r="A48" s="20">
        <f t="shared" si="3"/>
        <v>42</v>
      </c>
      <c r="B48" s="21">
        <f>VLOOKUP(A48,'qx''ler'!$1:$1048576,MATCH(komutasyon_tablo!$A$3,'qx''ler'!$1:$1,0),FALSE)</f>
        <v>3.2200000000000002E-3</v>
      </c>
      <c r="C48" s="21">
        <f t="shared" si="0"/>
        <v>0.99678</v>
      </c>
      <c r="D48" s="22">
        <f t="shared" si="4"/>
        <v>9406603.55893985</v>
      </c>
      <c r="E48" s="22">
        <f t="shared" si="1"/>
        <v>30289.263459786318</v>
      </c>
      <c r="F48" s="23">
        <f t="shared" si="5"/>
        <v>1811476.02516143</v>
      </c>
      <c r="G48" s="23">
        <f>SUM(F48:F$127)</f>
        <v>33549911.30869323</v>
      </c>
      <c r="H48" s="23">
        <f>SUM(G48:$G$127)</f>
        <v>487486208.98860574</v>
      </c>
      <c r="I48" s="23">
        <f t="shared" si="6"/>
        <v>5608.6084625190424</v>
      </c>
      <c r="J48" s="23">
        <f>SUM(I48:I$127)</f>
        <v>521094.82098091883</v>
      </c>
      <c r="K48" s="23">
        <f>SUM(J48:J$127)</f>
        <v>14800441.732208373</v>
      </c>
      <c r="L48" s="24">
        <f t="shared" si="2"/>
        <v>3.0961538461538457E-3</v>
      </c>
    </row>
    <row r="49" spans="1:15" x14ac:dyDescent="0.25">
      <c r="A49" s="20">
        <f t="shared" si="3"/>
        <v>43</v>
      </c>
      <c r="B49" s="21">
        <f>VLOOKUP(A49,'qx''ler'!$1:$1048576,MATCH(komutasyon_tablo!$A$3,'qx''ler'!$1:$1,0),FALSE)</f>
        <v>3.49E-3</v>
      </c>
      <c r="C49" s="21">
        <f t="shared" si="0"/>
        <v>0.99651000000000001</v>
      </c>
      <c r="D49" s="22">
        <f t="shared" si="4"/>
        <v>9376314.2954800632</v>
      </c>
      <c r="E49" s="22">
        <f t="shared" si="1"/>
        <v>32723.336891225423</v>
      </c>
      <c r="F49" s="23">
        <f t="shared" si="5"/>
        <v>1736195.2618850095</v>
      </c>
      <c r="G49" s="23">
        <f>SUM(F49:F$127)</f>
        <v>31738435.283531804</v>
      </c>
      <c r="H49" s="23">
        <f>SUM(G49:$G$127)</f>
        <v>453936297.67991251</v>
      </c>
      <c r="I49" s="23">
        <f t="shared" si="6"/>
        <v>5826.2706384410412</v>
      </c>
      <c r="J49" s="23">
        <f>SUM(I49:I$127)</f>
        <v>515486.21251839981</v>
      </c>
      <c r="K49" s="23">
        <f>SUM(J49:J$127)</f>
        <v>14279346.911227454</v>
      </c>
      <c r="L49" s="24">
        <f t="shared" si="2"/>
        <v>3.3557692307692307E-3</v>
      </c>
    </row>
    <row r="50" spans="1:15" x14ac:dyDescent="0.25">
      <c r="A50" s="20">
        <f t="shared" si="3"/>
        <v>44</v>
      </c>
      <c r="B50" s="21">
        <f>VLOOKUP(A50,'qx''ler'!$1:$1048576,MATCH(komutasyon_tablo!$A$3,'qx''ler'!$1:$1,0),FALSE)</f>
        <v>3.7499999999999999E-3</v>
      </c>
      <c r="C50" s="21">
        <f t="shared" si="0"/>
        <v>0.99624999999999997</v>
      </c>
      <c r="D50" s="22">
        <f t="shared" si="4"/>
        <v>9343590.9585888386</v>
      </c>
      <c r="E50" s="22">
        <f t="shared" si="1"/>
        <v>35038.466094708143</v>
      </c>
      <c r="F50" s="23">
        <f t="shared" si="5"/>
        <v>1663592.2504048373</v>
      </c>
      <c r="G50" s="23">
        <f>SUM(F50:F$127)</f>
        <v>30002240.021646794</v>
      </c>
      <c r="H50" s="23">
        <f>SUM(G50:$G$127)</f>
        <v>422197862.39638072</v>
      </c>
      <c r="I50" s="23">
        <f t="shared" si="6"/>
        <v>5998.5297490559024</v>
      </c>
      <c r="J50" s="23">
        <f>SUM(I50:I$127)</f>
        <v>509659.94187995873</v>
      </c>
      <c r="K50" s="23">
        <f>SUM(J50:J$127)</f>
        <v>13763860.698709054</v>
      </c>
      <c r="L50" s="24">
        <f t="shared" si="2"/>
        <v>3.6057692307692301E-3</v>
      </c>
    </row>
    <row r="51" spans="1:15" x14ac:dyDescent="0.25">
      <c r="A51" s="20">
        <f t="shared" si="3"/>
        <v>45</v>
      </c>
      <c r="B51" s="21">
        <f>VLOOKUP(A51,'qx''ler'!$1:$1048576,MATCH(komutasyon_tablo!$A$3,'qx''ler'!$1:$1,0),FALSE)</f>
        <v>4.0600000000000002E-3</v>
      </c>
      <c r="C51" s="21">
        <f t="shared" si="0"/>
        <v>0.99594000000000005</v>
      </c>
      <c r="D51" s="22">
        <f t="shared" si="4"/>
        <v>9308552.4924941305</v>
      </c>
      <c r="E51" s="22">
        <f t="shared" si="1"/>
        <v>37792.72311952617</v>
      </c>
      <c r="F51" s="23">
        <f t="shared" si="5"/>
        <v>1593609.4033325182</v>
      </c>
      <c r="G51" s="23">
        <f>SUM(F51:F$127)</f>
        <v>28338647.771241959</v>
      </c>
      <c r="H51" s="23">
        <f>SUM(G51:$G$127)</f>
        <v>392195622.37473387</v>
      </c>
      <c r="I51" s="23">
        <f t="shared" si="6"/>
        <v>6221.2059399327163</v>
      </c>
      <c r="J51" s="23">
        <f>SUM(I51:I$127)</f>
        <v>503661.41213090287</v>
      </c>
      <c r="K51" s="23">
        <f>SUM(J51:J$127)</f>
        <v>13254200.756829094</v>
      </c>
      <c r="L51" s="24">
        <f t="shared" si="2"/>
        <v>3.9038461538461544E-3</v>
      </c>
    </row>
    <row r="52" spans="1:15" x14ac:dyDescent="0.25">
      <c r="A52" s="20">
        <f t="shared" si="3"/>
        <v>46</v>
      </c>
      <c r="B52" s="21">
        <f>VLOOKUP(A52,'qx''ler'!$1:$1048576,MATCH(komutasyon_tablo!$A$3,'qx''ler'!$1:$1,0),FALSE)</f>
        <v>4.3600000000000002E-3</v>
      </c>
      <c r="C52" s="21">
        <f t="shared" si="0"/>
        <v>0.99563999999999997</v>
      </c>
      <c r="D52" s="22">
        <f t="shared" si="4"/>
        <v>9270759.7693746053</v>
      </c>
      <c r="E52" s="22">
        <f t="shared" si="1"/>
        <v>40420.512594473279</v>
      </c>
      <c r="F52" s="23">
        <f t="shared" si="5"/>
        <v>1526095.5280336428</v>
      </c>
      <c r="G52" s="23">
        <f>SUM(F52:F$127)</f>
        <v>26745038.367909443</v>
      </c>
      <c r="H52" s="23">
        <f>SUM(G52:$G$127)</f>
        <v>363856974.6034919</v>
      </c>
      <c r="I52" s="23">
        <f t="shared" si="6"/>
        <v>6397.8620213718104</v>
      </c>
      <c r="J52" s="23">
        <f>SUM(I52:I$127)</f>
        <v>497440.20619097014</v>
      </c>
      <c r="K52" s="23">
        <f>SUM(J52:J$127)</f>
        <v>12750539.344698193</v>
      </c>
      <c r="L52" s="24">
        <f t="shared" si="2"/>
        <v>4.1923076923076922E-3</v>
      </c>
    </row>
    <row r="53" spans="1:15" x14ac:dyDescent="0.25">
      <c r="A53" s="20">
        <f t="shared" si="3"/>
        <v>47</v>
      </c>
      <c r="B53" s="21">
        <f>VLOOKUP(A53,'qx''ler'!$1:$1048576,MATCH(komutasyon_tablo!$A$3,'qx''ler'!$1:$1,0),FALSE)</f>
        <v>4.6800000000000001E-3</v>
      </c>
      <c r="C53" s="21">
        <f t="shared" si="0"/>
        <v>0.99531999999999998</v>
      </c>
      <c r="D53" s="22">
        <f t="shared" si="4"/>
        <v>9230339.2567801327</v>
      </c>
      <c r="E53" s="22">
        <f t="shared" si="1"/>
        <v>43197.98772173102</v>
      </c>
      <c r="F53" s="23">
        <f t="shared" si="5"/>
        <v>1461001.6841648233</v>
      </c>
      <c r="G53" s="23">
        <f>SUM(F53:F$127)</f>
        <v>25218942.839875799</v>
      </c>
      <c r="H53" s="23">
        <f>SUM(G53:$G$127)</f>
        <v>337111936.23558253</v>
      </c>
      <c r="I53" s="23">
        <f t="shared" si="6"/>
        <v>6574.5075787417036</v>
      </c>
      <c r="J53" s="23">
        <f>SUM(I53:I$127)</f>
        <v>491042.34416959831</v>
      </c>
      <c r="K53" s="23">
        <f>SUM(J53:J$127)</f>
        <v>12253099.138507223</v>
      </c>
      <c r="L53" s="24">
        <f t="shared" si="2"/>
        <v>4.4999999999999997E-3</v>
      </c>
    </row>
    <row r="54" spans="1:15" x14ac:dyDescent="0.25">
      <c r="A54" s="20">
        <f t="shared" si="3"/>
        <v>48</v>
      </c>
      <c r="B54" s="21">
        <f>VLOOKUP(A54,'qx''ler'!$1:$1048576,MATCH(komutasyon_tablo!$A$3,'qx''ler'!$1:$1,0),FALSE)</f>
        <v>5.0299999999999997E-3</v>
      </c>
      <c r="C54" s="21">
        <f t="shared" si="0"/>
        <v>0.99497000000000002</v>
      </c>
      <c r="D54" s="22">
        <f t="shared" si="4"/>
        <v>9187141.2690584008</v>
      </c>
      <c r="E54" s="22">
        <f t="shared" si="1"/>
        <v>46211.320583363755</v>
      </c>
      <c r="F54" s="23">
        <f t="shared" si="5"/>
        <v>1398234.8041182035</v>
      </c>
      <c r="G54" s="23">
        <f>SUM(F54:F$127)</f>
        <v>23757941.155710973</v>
      </c>
      <c r="H54" s="23">
        <f>SUM(G54:$G$127)</f>
        <v>311892993.39570671</v>
      </c>
      <c r="I54" s="23">
        <f t="shared" si="6"/>
        <v>6762.6164083793874</v>
      </c>
      <c r="J54" s="23">
        <f>SUM(I54:I$127)</f>
        <v>484467.83659085666</v>
      </c>
      <c r="K54" s="23">
        <f>SUM(J54:J$127)</f>
        <v>11762056.794337623</v>
      </c>
      <c r="L54" s="24">
        <f t="shared" si="2"/>
        <v>4.8365384615384616E-3</v>
      </c>
    </row>
    <row r="55" spans="1:15" x14ac:dyDescent="0.25">
      <c r="A55" s="20">
        <f t="shared" si="3"/>
        <v>49</v>
      </c>
      <c r="B55" s="21">
        <f>VLOOKUP(A55,'qx''ler'!$1:$1048576,MATCH(komutasyon_tablo!$A$3,'qx''ler'!$1:$1,0),FALSE)</f>
        <v>5.4099999999999999E-3</v>
      </c>
      <c r="C55" s="21">
        <f t="shared" si="0"/>
        <v>0.99458999999999997</v>
      </c>
      <c r="D55" s="22">
        <f t="shared" si="4"/>
        <v>9140929.9484750368</v>
      </c>
      <c r="E55" s="22">
        <f t="shared" si="1"/>
        <v>49452.431021249948</v>
      </c>
      <c r="F55" s="23">
        <f t="shared" si="5"/>
        <v>1337693.92601297</v>
      </c>
      <c r="G55" s="23">
        <f>SUM(F55:F$127)</f>
        <v>22359706.351592775</v>
      </c>
      <c r="H55" s="23">
        <f>SUM(G55:$G$127)</f>
        <v>288135052.23999578</v>
      </c>
      <c r="I55" s="23">
        <f t="shared" si="6"/>
        <v>6958.5809035866987</v>
      </c>
      <c r="J55" s="23">
        <f>SUM(I55:I$127)</f>
        <v>477705.22018247715</v>
      </c>
      <c r="K55" s="23">
        <f>SUM(J55:J$127)</f>
        <v>11277588.957746768</v>
      </c>
      <c r="L55" s="24">
        <f t="shared" si="2"/>
        <v>5.2019230769230762E-3</v>
      </c>
    </row>
    <row r="56" spans="1:15" x14ac:dyDescent="0.25">
      <c r="A56" s="20">
        <f t="shared" si="3"/>
        <v>50</v>
      </c>
      <c r="B56" s="21">
        <f>VLOOKUP(A56,'qx''ler'!$1:$1048576,MATCH(komutasyon_tablo!$A$3,'qx''ler'!$1:$1,0),FALSE)</f>
        <v>5.8300000000000001E-3</v>
      </c>
      <c r="C56" s="21">
        <f t="shared" si="0"/>
        <v>0.99417</v>
      </c>
      <c r="D56" s="22">
        <f t="shared" si="4"/>
        <v>9091477.517453786</v>
      </c>
      <c r="E56" s="22">
        <f t="shared" si="1"/>
        <v>53003.313926755574</v>
      </c>
      <c r="F56" s="23">
        <f t="shared" si="5"/>
        <v>1279285.5787242688</v>
      </c>
      <c r="G56" s="23">
        <f>SUM(F56:F$127)</f>
        <v>21022012.425579801</v>
      </c>
      <c r="H56" s="23">
        <f>SUM(G56:$G$127)</f>
        <v>265775345.88840315</v>
      </c>
      <c r="I56" s="23">
        <f t="shared" si="6"/>
        <v>7171.3797345793137</v>
      </c>
      <c r="J56" s="23">
        <f>SUM(I56:I$127)</f>
        <v>470746.63927889045</v>
      </c>
      <c r="K56" s="23">
        <f>SUM(J56:J$127)</f>
        <v>10799883.73756429</v>
      </c>
      <c r="L56" s="24">
        <f t="shared" si="2"/>
        <v>5.6057692307692301E-3</v>
      </c>
    </row>
    <row r="57" spans="1:15" x14ac:dyDescent="0.25">
      <c r="A57" s="20">
        <f t="shared" si="3"/>
        <v>51</v>
      </c>
      <c r="B57" s="21">
        <f>VLOOKUP(A57,'qx''ler'!$1:$1048576,MATCH(komutasyon_tablo!$A$3,'qx''ler'!$1:$1,0),FALSE)</f>
        <v>6.3E-3</v>
      </c>
      <c r="C57" s="21">
        <f t="shared" si="0"/>
        <v>0.99370000000000003</v>
      </c>
      <c r="D57" s="22">
        <f t="shared" si="4"/>
        <v>9038474.2035270296</v>
      </c>
      <c r="E57" s="22">
        <f t="shared" si="1"/>
        <v>56942.387482220285</v>
      </c>
      <c r="F57" s="23">
        <f t="shared" si="5"/>
        <v>1222910.9075002943</v>
      </c>
      <c r="G57" s="23">
        <f>SUM(F57:F$127)</f>
        <v>19742726.846855536</v>
      </c>
      <c r="H57" s="23">
        <f>SUM(G57:$G$127)</f>
        <v>244753333.46282336</v>
      </c>
      <c r="I57" s="23">
        <f t="shared" si="6"/>
        <v>7408.0179973575523</v>
      </c>
      <c r="J57" s="23">
        <f>SUM(I57:I$127)</f>
        <v>463575.25954431121</v>
      </c>
      <c r="K57" s="23">
        <f>SUM(J57:J$127)</f>
        <v>10329137.098285401</v>
      </c>
      <c r="L57" s="24">
        <f t="shared" si="2"/>
        <v>6.0576923076923082E-3</v>
      </c>
    </row>
    <row r="58" spans="1:15" x14ac:dyDescent="0.25">
      <c r="A58" s="20">
        <f t="shared" si="3"/>
        <v>52</v>
      </c>
      <c r="B58" s="21">
        <f>VLOOKUP(A58,'qx''ler'!$1:$1048576,MATCH(komutasyon_tablo!$A$3,'qx''ler'!$1:$1,0),FALSE)</f>
        <v>6.8199999999999997E-3</v>
      </c>
      <c r="C58" s="21">
        <f t="shared" si="0"/>
        <v>0.99317999999999995</v>
      </c>
      <c r="D58" s="22">
        <f t="shared" si="4"/>
        <v>8981531.8160448093</v>
      </c>
      <c r="E58" s="22">
        <f t="shared" si="1"/>
        <v>61254.046985425593</v>
      </c>
      <c r="F58" s="23">
        <f t="shared" si="5"/>
        <v>1168467.8545990794</v>
      </c>
      <c r="G58" s="23">
        <f>SUM(F58:F$127)</f>
        <v>18519815.939355243</v>
      </c>
      <c r="H58" s="23">
        <f>SUM(G58:$G$127)</f>
        <v>225010606.61596784</v>
      </c>
      <c r="I58" s="23">
        <f t="shared" si="6"/>
        <v>7662.4526618901136</v>
      </c>
      <c r="J58" s="23">
        <f>SUM(I58:I$127)</f>
        <v>456167.24154695356</v>
      </c>
      <c r="K58" s="23">
        <f>SUM(J58:J$127)</f>
        <v>9865561.8387410901</v>
      </c>
      <c r="L58" s="24">
        <f t="shared" si="2"/>
        <v>6.5576923076923052E-3</v>
      </c>
    </row>
    <row r="59" spans="1:15" x14ac:dyDescent="0.25">
      <c r="A59" s="20">
        <f t="shared" si="3"/>
        <v>53</v>
      </c>
      <c r="B59" s="21">
        <f>VLOOKUP(A59,'qx''ler'!$1:$1048576,MATCH(komutasyon_tablo!$A$3,'qx''ler'!$1:$1,0),FALSE)</f>
        <v>7.4200000000000004E-3</v>
      </c>
      <c r="C59" s="21">
        <f t="shared" si="0"/>
        <v>0.99258000000000002</v>
      </c>
      <c r="D59" s="22">
        <f t="shared" si="4"/>
        <v>8920277.7690593842</v>
      </c>
      <c r="E59" s="22">
        <f t="shared" si="1"/>
        <v>66188.461046420634</v>
      </c>
      <c r="F59" s="23">
        <f t="shared" si="5"/>
        <v>1115864.3306064552</v>
      </c>
      <c r="G59" s="23">
        <f>SUM(F59:F$127)</f>
        <v>17351348.084756162</v>
      </c>
      <c r="H59" s="23">
        <f>SUM(G59:$G$127)</f>
        <v>206490790.67661259</v>
      </c>
      <c r="I59" s="23">
        <f t="shared" si="6"/>
        <v>7961.2628202883634</v>
      </c>
      <c r="J59" s="23">
        <f>SUM(I59:I$127)</f>
        <v>448504.78888506349</v>
      </c>
      <c r="K59" s="23">
        <f>SUM(J59:J$127)</f>
        <v>9409394.5971941371</v>
      </c>
      <c r="L59" s="24">
        <f t="shared" si="2"/>
        <v>7.1346153846153851E-3</v>
      </c>
    </row>
    <row r="60" spans="1:15" x14ac:dyDescent="0.25">
      <c r="A60" s="20">
        <f t="shared" si="3"/>
        <v>54</v>
      </c>
      <c r="B60" s="21">
        <f>VLOOKUP(A60,'qx''ler'!$1:$1048576,MATCH(komutasyon_tablo!$A$3,'qx''ler'!$1:$1,0),FALSE)</f>
        <v>8.0700000000000008E-3</v>
      </c>
      <c r="C60" s="21">
        <f t="shared" si="0"/>
        <v>0.99192999999999998</v>
      </c>
      <c r="D60" s="22">
        <f t="shared" si="4"/>
        <v>8854089.3080129642</v>
      </c>
      <c r="E60" s="22">
        <f t="shared" si="1"/>
        <v>71452.500715664632</v>
      </c>
      <c r="F60" s="23">
        <f t="shared" si="5"/>
        <v>1064985.2089166879</v>
      </c>
      <c r="G60" s="23">
        <f>SUM(F60:F$127)</f>
        <v>16235483.754149707</v>
      </c>
      <c r="H60" s="23">
        <f>SUM(G60:$G$127)</f>
        <v>189139442.59185639</v>
      </c>
      <c r="I60" s="23">
        <f t="shared" si="6"/>
        <v>8263.8756114977623</v>
      </c>
      <c r="J60" s="23">
        <f>SUM(I60:I$127)</f>
        <v>440543.52606477513</v>
      </c>
      <c r="K60" s="23">
        <f>SUM(J60:J$127)</f>
        <v>8960889.8083090726</v>
      </c>
      <c r="L60" s="24">
        <f t="shared" si="2"/>
        <v>7.7596153846153865E-3</v>
      </c>
    </row>
    <row r="61" spans="1:15" x14ac:dyDescent="0.25">
      <c r="A61" s="20">
        <f t="shared" si="3"/>
        <v>55</v>
      </c>
      <c r="B61" s="21">
        <f>VLOOKUP(A61,'qx''ler'!$1:$1048576,MATCH(komutasyon_tablo!$A$3,'qx''ler'!$1:$1,0),FALSE)</f>
        <v>8.77E-3</v>
      </c>
      <c r="C61" s="21">
        <f t="shared" si="0"/>
        <v>0.99123000000000006</v>
      </c>
      <c r="D61" s="22">
        <f t="shared" si="4"/>
        <v>8782636.8072972987</v>
      </c>
      <c r="E61" s="22">
        <f t="shared" si="1"/>
        <v>77023.724799997304</v>
      </c>
      <c r="F61" s="23">
        <f t="shared" si="5"/>
        <v>1015760.3637314714</v>
      </c>
      <c r="G61" s="23">
        <f>SUM(F61:F$127)</f>
        <v>15170498.545233019</v>
      </c>
      <c r="H61" s="23">
        <f>SUM(G61:$G$127)</f>
        <v>172903958.83770671</v>
      </c>
      <c r="I61" s="23">
        <f t="shared" si="6"/>
        <v>8565.5946056971188</v>
      </c>
      <c r="J61" s="23">
        <f>SUM(I61:I$127)</f>
        <v>432279.65045327734</v>
      </c>
      <c r="K61" s="23">
        <f>SUM(J61:J$127)</f>
        <v>8520346.2822442986</v>
      </c>
      <c r="L61" s="24">
        <f t="shared" si="2"/>
        <v>8.4326923076923077E-3</v>
      </c>
    </row>
    <row r="62" spans="1:15" x14ac:dyDescent="0.25">
      <c r="A62" s="20">
        <f t="shared" si="3"/>
        <v>56</v>
      </c>
      <c r="B62" s="21">
        <f>VLOOKUP(A62,'qx''ler'!$1:$1048576,MATCH(komutasyon_tablo!$A$3,'qx''ler'!$1:$1,0),FALSE)</f>
        <v>9.4999999999999998E-3</v>
      </c>
      <c r="C62" s="21">
        <f t="shared" si="0"/>
        <v>0.99050000000000005</v>
      </c>
      <c r="D62" s="22">
        <f t="shared" si="4"/>
        <v>8705613.0824973006</v>
      </c>
      <c r="E62" s="22">
        <f t="shared" si="1"/>
        <v>82703.32428372436</v>
      </c>
      <c r="F62" s="23">
        <f t="shared" si="5"/>
        <v>968127.06282840995</v>
      </c>
      <c r="G62" s="23">
        <f>SUM(F62:F$127)</f>
        <v>14154738.181501549</v>
      </c>
      <c r="H62" s="23">
        <f>SUM(G62:$G$127)</f>
        <v>157733460.2924737</v>
      </c>
      <c r="I62" s="23">
        <f t="shared" si="6"/>
        <v>8843.4683623748952</v>
      </c>
      <c r="J62" s="23">
        <f>SUM(I62:I$127)</f>
        <v>423714.05584758025</v>
      </c>
      <c r="K62" s="23">
        <f>SUM(J62:J$127)</f>
        <v>8088066.6317910198</v>
      </c>
      <c r="L62" s="24">
        <f t="shared" si="2"/>
        <v>9.1346153846153817E-3</v>
      </c>
    </row>
    <row r="63" spans="1:15" x14ac:dyDescent="0.25">
      <c r="A63" s="20">
        <f t="shared" si="3"/>
        <v>57</v>
      </c>
      <c r="B63" s="21">
        <f>VLOOKUP(A63,'qx''ler'!$1:$1048576,MATCH(komutasyon_tablo!$A$3,'qx''ler'!$1:$1,0),FALSE)</f>
        <v>1.023E-2</v>
      </c>
      <c r="C63" s="21">
        <f t="shared" si="0"/>
        <v>0.98977000000000004</v>
      </c>
      <c r="D63" s="22">
        <f t="shared" si="4"/>
        <v>8622909.7582135759</v>
      </c>
      <c r="E63" s="22">
        <f t="shared" si="1"/>
        <v>88212.366826524871</v>
      </c>
      <c r="F63" s="23">
        <f t="shared" si="5"/>
        <v>922047.93820340349</v>
      </c>
      <c r="G63" s="23">
        <f>SUM(F63:F$127)</f>
        <v>13186611.118673138</v>
      </c>
      <c r="H63" s="23">
        <f>SUM(G63:$G$127)</f>
        <v>143578722.11097211</v>
      </c>
      <c r="I63" s="23">
        <f t="shared" si="6"/>
        <v>9069.7600075200171</v>
      </c>
      <c r="J63" s="23">
        <f>SUM(I63:I$127)</f>
        <v>414870.58748520538</v>
      </c>
      <c r="K63" s="23">
        <f>SUM(J63:J$127)</f>
        <v>7664352.5759434402</v>
      </c>
      <c r="L63" s="24">
        <f t="shared" si="2"/>
        <v>9.8365384615384608E-3</v>
      </c>
      <c r="O63" s="25"/>
    </row>
    <row r="64" spans="1:15" x14ac:dyDescent="0.25">
      <c r="A64" s="20">
        <f t="shared" si="3"/>
        <v>58</v>
      </c>
      <c r="B64" s="21">
        <f>VLOOKUP(A64,'qx''ler'!$1:$1048576,MATCH(komutasyon_tablo!$A$3,'qx''ler'!$1:$1,0),FALSE)</f>
        <v>1.099E-2</v>
      </c>
      <c r="C64" s="21">
        <f t="shared" si="0"/>
        <v>0.98900999999999994</v>
      </c>
      <c r="D64" s="22">
        <f t="shared" si="4"/>
        <v>8534697.391387051</v>
      </c>
      <c r="E64" s="22">
        <f t="shared" si="1"/>
        <v>93796.324331343683</v>
      </c>
      <c r="F64" s="23">
        <f t="shared" si="5"/>
        <v>877514.79595729115</v>
      </c>
      <c r="G64" s="23">
        <f>SUM(F64:F$127)</f>
        <v>12264563.180469735</v>
      </c>
      <c r="H64" s="23">
        <f>SUM(G64:$G$127)</f>
        <v>130392110.9922989</v>
      </c>
      <c r="I64" s="23">
        <f t="shared" si="6"/>
        <v>9272.9688534332981</v>
      </c>
      <c r="J64" s="23">
        <f>SUM(I64:I$127)</f>
        <v>405800.82747768535</v>
      </c>
      <c r="K64" s="23">
        <f>SUM(J64:J$127)</f>
        <v>7249481.9884582348</v>
      </c>
      <c r="L64" s="24">
        <f t="shared" si="2"/>
        <v>1.0567307692307692E-2</v>
      </c>
      <c r="O64" s="25"/>
    </row>
    <row r="65" spans="1:15" x14ac:dyDescent="0.25">
      <c r="A65" s="20">
        <f t="shared" si="3"/>
        <v>59</v>
      </c>
      <c r="B65" s="21">
        <f>VLOOKUP(A65,'qx''ler'!$1:$1048576,MATCH(komutasyon_tablo!$A$3,'qx''ler'!$1:$1,0),FALSE)</f>
        <v>1.1809999999999999E-2</v>
      </c>
      <c r="C65" s="21">
        <f t="shared" si="0"/>
        <v>0.98819000000000001</v>
      </c>
      <c r="D65" s="22">
        <f t="shared" si="4"/>
        <v>8440901.0670557078</v>
      </c>
      <c r="E65" s="22">
        <f t="shared" si="1"/>
        <v>99687.041601927907</v>
      </c>
      <c r="F65" s="23">
        <f t="shared" si="5"/>
        <v>834491.25802857755</v>
      </c>
      <c r="G65" s="23">
        <f>SUM(F65:F$127)</f>
        <v>11387048.384512445</v>
      </c>
      <c r="H65" s="23">
        <f>SUM(G65:$G$127)</f>
        <v>118127547.81182916</v>
      </c>
      <c r="I65" s="23">
        <f t="shared" si="6"/>
        <v>9476.290151266825</v>
      </c>
      <c r="J65" s="23">
        <f>SUM(I65:I$127)</f>
        <v>396527.85862425208</v>
      </c>
      <c r="K65" s="23">
        <f>SUM(J65:J$127)</f>
        <v>6843681.1609805487</v>
      </c>
      <c r="L65" s="24">
        <f t="shared" si="2"/>
        <v>1.1355769230769228E-2</v>
      </c>
      <c r="O65" s="25"/>
    </row>
    <row r="66" spans="1:15" x14ac:dyDescent="0.25">
      <c r="A66" s="20">
        <f t="shared" si="3"/>
        <v>60</v>
      </c>
      <c r="B66" s="21">
        <f>VLOOKUP(A66,'qx''ler'!$1:$1048576,MATCH(komutasyon_tablo!$A$3,'qx''ler'!$1:$1,0),FALSE)</f>
        <v>1.2710000000000001E-2</v>
      </c>
      <c r="C66" s="21">
        <f t="shared" si="0"/>
        <v>0.98729</v>
      </c>
      <c r="D66" s="22">
        <f t="shared" si="4"/>
        <v>8341214.0254537798</v>
      </c>
      <c r="E66" s="22">
        <f t="shared" si="1"/>
        <v>106016.83026351755</v>
      </c>
      <c r="F66" s="23">
        <f t="shared" si="5"/>
        <v>792919.15026082669</v>
      </c>
      <c r="G66" s="23">
        <f>SUM(F66:F$127)</f>
        <v>10552557.126483867</v>
      </c>
      <c r="H66" s="23">
        <f>SUM(G66:$G$127)</f>
        <v>106740499.42731671</v>
      </c>
      <c r="I66" s="23">
        <f t="shared" si="6"/>
        <v>9690.3869228991425</v>
      </c>
      <c r="J66" s="23">
        <f>SUM(I66:I$127)</f>
        <v>387051.56847298524</v>
      </c>
      <c r="K66" s="23">
        <f>SUM(J66:J$127)</f>
        <v>6447153.3023562962</v>
      </c>
      <c r="L66" s="24">
        <f t="shared" si="2"/>
        <v>1.2221153846153847E-2</v>
      </c>
      <c r="O66" s="25"/>
    </row>
    <row r="67" spans="1:15" x14ac:dyDescent="0.25">
      <c r="A67" s="20">
        <f t="shared" si="3"/>
        <v>61</v>
      </c>
      <c r="B67" s="21">
        <f>VLOOKUP(A67,'qx''ler'!$1:$1048576,MATCH(komutasyon_tablo!$A$3,'qx''ler'!$1:$1,0),FALSE)</f>
        <v>1.375E-2</v>
      </c>
      <c r="C67" s="21">
        <f t="shared" si="0"/>
        <v>0.98624999999999996</v>
      </c>
      <c r="D67" s="22">
        <f t="shared" si="4"/>
        <v>8235197.195190262</v>
      </c>
      <c r="E67" s="22">
        <f t="shared" si="1"/>
        <v>113233.9614338661</v>
      </c>
      <c r="F67" s="23">
        <f t="shared" si="5"/>
        <v>752731.87294328038</v>
      </c>
      <c r="G67" s="23">
        <f>SUM(F67:F$127)</f>
        <v>9759637.9762230404</v>
      </c>
      <c r="H67" s="23">
        <f>SUM(G67:$G$127)</f>
        <v>96187942.300832853</v>
      </c>
      <c r="I67" s="23">
        <f t="shared" si="6"/>
        <v>9951.9838970866404</v>
      </c>
      <c r="J67" s="23">
        <f>SUM(I67:I$127)</f>
        <v>377361.18155008613</v>
      </c>
      <c r="K67" s="23">
        <f>SUM(J67:J$127)</f>
        <v>6060101.7338833101</v>
      </c>
      <c r="L67" s="24">
        <f t="shared" si="2"/>
        <v>1.3221153846153848E-2</v>
      </c>
    </row>
    <row r="68" spans="1:15" x14ac:dyDescent="0.25">
      <c r="A68" s="20">
        <f t="shared" si="3"/>
        <v>62</v>
      </c>
      <c r="B68" s="21">
        <f>VLOOKUP(A68,'qx''ler'!$1:$1048576,MATCH(komutasyon_tablo!$A$3,'qx''ler'!$1:$1,0),FALSE)</f>
        <v>1.4959999999999999E-2</v>
      </c>
      <c r="C68" s="21">
        <f t="shared" si="0"/>
        <v>0.98504000000000003</v>
      </c>
      <c r="D68" s="22">
        <f t="shared" si="4"/>
        <v>8121963.233756396</v>
      </c>
      <c r="E68" s="22">
        <f t="shared" si="1"/>
        <v>121504.56997699568</v>
      </c>
      <c r="F68" s="23">
        <f t="shared" si="5"/>
        <v>713828.66316375998</v>
      </c>
      <c r="G68" s="23">
        <f>SUM(F68:F$127)</f>
        <v>9006906.103279762</v>
      </c>
      <c r="H68" s="23">
        <f>SUM(G68:$G$127)</f>
        <v>86428304.324609816</v>
      </c>
      <c r="I68" s="23">
        <f t="shared" si="6"/>
        <v>10268.150770124856</v>
      </c>
      <c r="J68" s="23">
        <f>SUM(I68:I$127)</f>
        <v>367409.19765299949</v>
      </c>
      <c r="K68" s="23">
        <f>SUM(J68:J$127)</f>
        <v>5682740.5523332236</v>
      </c>
      <c r="L68" s="24">
        <f t="shared" si="2"/>
        <v>1.4384615384615385E-2</v>
      </c>
    </row>
    <row r="69" spans="1:15" x14ac:dyDescent="0.25">
      <c r="A69" s="20">
        <f t="shared" si="3"/>
        <v>63</v>
      </c>
      <c r="B69" s="21">
        <f>VLOOKUP(A69,'qx''ler'!$1:$1048576,MATCH(komutasyon_tablo!$A$3,'qx''ler'!$1:$1,0),FALSE)</f>
        <v>1.6389999999999998E-2</v>
      </c>
      <c r="C69" s="21">
        <f t="shared" si="0"/>
        <v>0.98360999999999998</v>
      </c>
      <c r="D69" s="22">
        <f t="shared" si="4"/>
        <v>8000458.6637794003</v>
      </c>
      <c r="E69" s="22">
        <f t="shared" si="1"/>
        <v>131127.51749934437</v>
      </c>
      <c r="F69" s="23">
        <f t="shared" si="5"/>
        <v>676105.56381041359</v>
      </c>
      <c r="G69" s="23">
        <f>SUM(F69:F$127)</f>
        <v>8293077.4401160041</v>
      </c>
      <c r="H69" s="23">
        <f>SUM(G69:$G$127)</f>
        <v>77421398.221330047</v>
      </c>
      <c r="I69" s="23">
        <f t="shared" si="6"/>
        <v>10655.16364505065</v>
      </c>
      <c r="J69" s="23">
        <f>SUM(I69:I$127)</f>
        <v>357141.04688287462</v>
      </c>
      <c r="K69" s="23">
        <f>SUM(J69:J$127)</f>
        <v>5315331.3546802243</v>
      </c>
      <c r="L69" s="24">
        <f t="shared" si="2"/>
        <v>1.5759615384615382E-2</v>
      </c>
    </row>
    <row r="70" spans="1:15" x14ac:dyDescent="0.25">
      <c r="A70" s="20">
        <f t="shared" si="3"/>
        <v>64</v>
      </c>
      <c r="B70" s="21">
        <f>VLOOKUP(A70,'qx''ler'!$1:$1048576,MATCH(komutasyon_tablo!$A$3,'qx''ler'!$1:$1,0),FALSE)</f>
        <v>1.8020000000000001E-2</v>
      </c>
      <c r="C70" s="21">
        <f t="shared" ref="C70:C101" si="7">1-B70</f>
        <v>0.98197999999999996</v>
      </c>
      <c r="D70" s="22">
        <f t="shared" si="4"/>
        <v>7869331.1462800559</v>
      </c>
      <c r="E70" s="22">
        <f t="shared" ref="E70:E101" si="8">D70*B70</f>
        <v>141805.34725596663</v>
      </c>
      <c r="F70" s="23">
        <f t="shared" si="5"/>
        <v>639446.34001880838</v>
      </c>
      <c r="G70" s="23">
        <f>SUM(F70:F$127)</f>
        <v>7616971.8763055904</v>
      </c>
      <c r="H70" s="23">
        <f>SUM(G70:$G$127)</f>
        <v>69128320.781214043</v>
      </c>
      <c r="I70" s="23">
        <f t="shared" si="6"/>
        <v>11079.637545325893</v>
      </c>
      <c r="J70" s="23">
        <f>SUM(I70:I$127)</f>
        <v>346485.8832378239</v>
      </c>
      <c r="K70" s="23">
        <f>SUM(J70:J$127)</f>
        <v>4958190.3077973509</v>
      </c>
      <c r="L70" s="24">
        <f t="shared" ref="L70:L127" si="9">I70/F70</f>
        <v>1.732692307692308E-2</v>
      </c>
    </row>
    <row r="71" spans="1:15" x14ac:dyDescent="0.25">
      <c r="A71" s="20">
        <f t="shared" ref="A71:A127" si="10">A70+1</f>
        <v>65</v>
      </c>
      <c r="B71" s="21">
        <f>VLOOKUP(A71,'qx''ler'!$1:$1048576,MATCH(komutasyon_tablo!$A$3,'qx''ler'!$1:$1,0),FALSE)</f>
        <v>1.9779999999999999E-2</v>
      </c>
      <c r="C71" s="21">
        <f t="shared" si="7"/>
        <v>0.98021999999999998</v>
      </c>
      <c r="D71" s="22">
        <f t="shared" ref="D71:D127" si="11">D70-E70</f>
        <v>7727525.7990240892</v>
      </c>
      <c r="E71" s="22">
        <f t="shared" si="8"/>
        <v>152850.46030469649</v>
      </c>
      <c r="F71" s="23">
        <f t="shared" ref="F71:F127" si="12">D71*(1/($B$3^A71))</f>
        <v>603772.61247275909</v>
      </c>
      <c r="G71" s="23">
        <f>SUM(F71:F$127)</f>
        <v>6977525.5362867815</v>
      </c>
      <c r="H71" s="23">
        <f>SUM(G71:$G$127)</f>
        <v>61511348.904908456</v>
      </c>
      <c r="I71" s="23">
        <f t="shared" ref="I71:I127" si="13">E71*(1/($B$3^(A71+1)))</f>
        <v>11483.290648760745</v>
      </c>
      <c r="J71" s="23">
        <f>SUM(I71:I$127)</f>
        <v>335406.24569249799</v>
      </c>
      <c r="K71" s="23">
        <f>SUM(J71:J$127)</f>
        <v>4611704.4245595271</v>
      </c>
      <c r="L71" s="24">
        <f t="shared" si="9"/>
        <v>1.9019230769230771E-2</v>
      </c>
    </row>
    <row r="72" spans="1:15" x14ac:dyDescent="0.25">
      <c r="A72" s="20">
        <f t="shared" si="10"/>
        <v>66</v>
      </c>
      <c r="B72" s="21">
        <f>VLOOKUP(A72,'qx''ler'!$1:$1048576,MATCH(komutasyon_tablo!$A$3,'qx''ler'!$1:$1,0),FALSE)</f>
        <v>2.164E-2</v>
      </c>
      <c r="C72" s="21">
        <f t="shared" si="7"/>
        <v>0.97836000000000001</v>
      </c>
      <c r="D72" s="22">
        <f t="shared" si="11"/>
        <v>7574675.3387193931</v>
      </c>
      <c r="E72" s="22">
        <f t="shared" si="8"/>
        <v>163915.97432988766</v>
      </c>
      <c r="F72" s="23">
        <f t="shared" si="12"/>
        <v>569067.29826735379</v>
      </c>
      <c r="G72" s="23">
        <f>SUM(F72:F$127)</f>
        <v>6373752.9238140238</v>
      </c>
      <c r="H72" s="23">
        <f>SUM(G72:$G$127)</f>
        <v>54533823.368621677</v>
      </c>
      <c r="I72" s="23">
        <f t="shared" si="13"/>
        <v>11840.977244716862</v>
      </c>
      <c r="J72" s="23">
        <f>SUM(I72:I$127)</f>
        <v>323922.95504373725</v>
      </c>
      <c r="K72" s="23">
        <f>SUM(J72:J$127)</f>
        <v>4276298.17886703</v>
      </c>
      <c r="L72" s="24">
        <f t="shared" si="9"/>
        <v>2.0807692307692308E-2</v>
      </c>
    </row>
    <row r="73" spans="1:15" x14ac:dyDescent="0.25">
      <c r="A73" s="20">
        <f t="shared" si="10"/>
        <v>67</v>
      </c>
      <c r="B73" s="21">
        <f>VLOOKUP(A73,'qx''ler'!$1:$1048576,MATCH(komutasyon_tablo!$A$3,'qx''ler'!$1:$1,0),FALSE)</f>
        <v>2.359E-2</v>
      </c>
      <c r="C73" s="21">
        <f t="shared" si="7"/>
        <v>0.97641</v>
      </c>
      <c r="D73" s="22">
        <f t="shared" si="11"/>
        <v>7410759.3643895052</v>
      </c>
      <c r="E73" s="22">
        <f t="shared" si="8"/>
        <v>174819.81340594843</v>
      </c>
      <c r="F73" s="23">
        <f t="shared" si="12"/>
        <v>535339.11724312336</v>
      </c>
      <c r="G73" s="23">
        <f>SUM(F73:F$127)</f>
        <v>5804685.6255466687</v>
      </c>
      <c r="H73" s="23">
        <f>SUM(G73:$G$127)</f>
        <v>48160070.444807656</v>
      </c>
      <c r="I73" s="23">
        <f t="shared" si="13"/>
        <v>12142.932476697382</v>
      </c>
      <c r="J73" s="23">
        <f>SUM(I73:I$127)</f>
        <v>312081.97779902042</v>
      </c>
      <c r="K73" s="23">
        <f>SUM(J73:J$127)</f>
        <v>3952375.2238232945</v>
      </c>
      <c r="L73" s="24">
        <f t="shared" si="9"/>
        <v>2.2682692307692303E-2</v>
      </c>
    </row>
    <row r="74" spans="1:15" x14ac:dyDescent="0.25">
      <c r="A74" s="20">
        <f t="shared" si="10"/>
        <v>68</v>
      </c>
      <c r="B74" s="21">
        <f>VLOOKUP(A74,'qx''ler'!$1:$1048576,MATCH(komutasyon_tablo!$A$3,'qx''ler'!$1:$1,0),FALSE)</f>
        <v>2.5579999999999999E-2</v>
      </c>
      <c r="C74" s="21">
        <f t="shared" si="7"/>
        <v>0.97441999999999995</v>
      </c>
      <c r="D74" s="22">
        <f t="shared" si="11"/>
        <v>7235939.5509835565</v>
      </c>
      <c r="E74" s="22">
        <f t="shared" si="8"/>
        <v>185095.33371415938</v>
      </c>
      <c r="F74" s="23">
        <f t="shared" si="12"/>
        <v>502606.21871861338</v>
      </c>
      <c r="G74" s="23">
        <f>SUM(F74:F$127)</f>
        <v>5269346.5083035463</v>
      </c>
      <c r="H74" s="23">
        <f>SUM(G74:$G$127)</f>
        <v>42355384.819260985</v>
      </c>
      <c r="I74" s="23">
        <f t="shared" si="13"/>
        <v>12362.179879636664</v>
      </c>
      <c r="J74" s="23">
        <f>SUM(I74:I$127)</f>
        <v>299939.0453223231</v>
      </c>
      <c r="K74" s="23">
        <f>SUM(J74:J$127)</f>
        <v>3640293.2460242747</v>
      </c>
      <c r="L74" s="24">
        <f t="shared" si="9"/>
        <v>2.4596153846153847E-2</v>
      </c>
    </row>
    <row r="75" spans="1:15" x14ac:dyDescent="0.25">
      <c r="A75" s="20">
        <f t="shared" si="10"/>
        <v>69</v>
      </c>
      <c r="B75" s="21">
        <f>VLOOKUP(A75,'qx''ler'!$1:$1048576,MATCH(komutasyon_tablo!$A$3,'qx''ler'!$1:$1,0),FALSE)</f>
        <v>2.7730000000000001E-2</v>
      </c>
      <c r="C75" s="21">
        <f t="shared" si="7"/>
        <v>0.97226999999999997</v>
      </c>
      <c r="D75" s="22">
        <f t="shared" si="11"/>
        <v>7050844.2172693973</v>
      </c>
      <c r="E75" s="22">
        <f t="shared" si="8"/>
        <v>195519.91014488038</v>
      </c>
      <c r="F75" s="23">
        <f t="shared" si="12"/>
        <v>470913.03042672237</v>
      </c>
      <c r="G75" s="23">
        <f>SUM(F75:F$127)</f>
        <v>4766740.2895849319</v>
      </c>
      <c r="H75" s="23">
        <f>SUM(G75:$G$127)</f>
        <v>37086038.310957439</v>
      </c>
      <c r="I75" s="23">
        <f t="shared" si="13"/>
        <v>12556.171474743282</v>
      </c>
      <c r="J75" s="23">
        <f>SUM(I75:I$127)</f>
        <v>287576.86544268648</v>
      </c>
      <c r="K75" s="23">
        <f>SUM(J75:J$127)</f>
        <v>3340354.2007019515</v>
      </c>
      <c r="L75" s="24">
        <f t="shared" si="9"/>
        <v>2.6663461538461542E-2</v>
      </c>
    </row>
    <row r="76" spans="1:15" x14ac:dyDescent="0.25">
      <c r="A76" s="20">
        <f t="shared" si="10"/>
        <v>70</v>
      </c>
      <c r="B76" s="21">
        <f>VLOOKUP(A76,'qx''ler'!$1:$1048576,MATCH(komutasyon_tablo!$A$3,'qx''ler'!$1:$1,0),FALSE)</f>
        <v>3.0159999999999999E-2</v>
      </c>
      <c r="C76" s="21">
        <f t="shared" si="7"/>
        <v>0.96984000000000004</v>
      </c>
      <c r="D76" s="22">
        <f t="shared" si="11"/>
        <v>6855324.3071245169</v>
      </c>
      <c r="E76" s="22">
        <f t="shared" si="8"/>
        <v>206756.58110287544</v>
      </c>
      <c r="F76" s="23">
        <f t="shared" si="12"/>
        <v>440244.81932018208</v>
      </c>
      <c r="G76" s="23">
        <f>SUM(F76:F$127)</f>
        <v>4295827.259158209</v>
      </c>
      <c r="H76" s="23">
        <f>SUM(G76:$G$127)</f>
        <v>32319298.021372508</v>
      </c>
      <c r="I76" s="23">
        <f t="shared" si="13"/>
        <v>12767.099760285282</v>
      </c>
      <c r="J76" s="23">
        <f>SUM(I76:I$127)</f>
        <v>275020.6939679432</v>
      </c>
      <c r="K76" s="23">
        <f>SUM(J76:J$127)</f>
        <v>3052777.3352592648</v>
      </c>
      <c r="L76" s="24">
        <f t="shared" si="9"/>
        <v>2.9000000000000005E-2</v>
      </c>
    </row>
    <row r="77" spans="1:15" x14ac:dyDescent="0.25">
      <c r="A77" s="20">
        <f t="shared" si="10"/>
        <v>71</v>
      </c>
      <c r="B77" s="21">
        <f>VLOOKUP(A77,'qx''ler'!$1:$1048576,MATCH(komutasyon_tablo!$A$3,'qx''ler'!$1:$1,0),FALSE)</f>
        <v>3.2960000000000003E-2</v>
      </c>
      <c r="C77" s="21">
        <f t="shared" si="7"/>
        <v>0.96704000000000001</v>
      </c>
      <c r="D77" s="22">
        <f t="shared" si="11"/>
        <v>6648567.7260216419</v>
      </c>
      <c r="E77" s="22">
        <f t="shared" si="8"/>
        <v>219136.79224967334</v>
      </c>
      <c r="F77" s="23">
        <f t="shared" si="12"/>
        <v>410545.22650912061</v>
      </c>
      <c r="G77" s="23">
        <f>SUM(F77:F$127)</f>
        <v>3855582.4398380243</v>
      </c>
      <c r="H77" s="23">
        <f>SUM(G77:$G$127)</f>
        <v>28023470.762214299</v>
      </c>
      <c r="I77" s="23">
        <f t="shared" si="13"/>
        <v>13011.125640135206</v>
      </c>
      <c r="J77" s="23">
        <f>SUM(I77:I$127)</f>
        <v>262253.59420765797</v>
      </c>
      <c r="K77" s="23">
        <f>SUM(J77:J$127)</f>
        <v>2777756.6412913213</v>
      </c>
      <c r="L77" s="24">
        <f t="shared" si="9"/>
        <v>3.1692307692307686E-2</v>
      </c>
    </row>
    <row r="78" spans="1:15" x14ac:dyDescent="0.25">
      <c r="A78" s="20">
        <f t="shared" si="10"/>
        <v>72</v>
      </c>
      <c r="B78" s="21">
        <f>VLOOKUP(A78,'qx''ler'!$1:$1048576,MATCH(komutasyon_tablo!$A$3,'qx''ler'!$1:$1,0),FALSE)</f>
        <v>3.6290000000000003E-2</v>
      </c>
      <c r="C78" s="21">
        <f t="shared" si="7"/>
        <v>0.96370999999999996</v>
      </c>
      <c r="D78" s="22">
        <f t="shared" si="11"/>
        <v>6429430.9337719688</v>
      </c>
      <c r="E78" s="22">
        <f t="shared" si="8"/>
        <v>233324.04858658477</v>
      </c>
      <c r="F78" s="23">
        <f t="shared" si="12"/>
        <v>381743.89984940377</v>
      </c>
      <c r="G78" s="23">
        <f>SUM(F78:F$127)</f>
        <v>3445037.2133289035</v>
      </c>
      <c r="H78" s="23">
        <f>SUM(G78:$G$127)</f>
        <v>24167888.322376274</v>
      </c>
      <c r="I78" s="23">
        <f t="shared" si="13"/>
        <v>13320.659736091216</v>
      </c>
      <c r="J78" s="23">
        <f>SUM(I78:I$127)</f>
        <v>249242.46856752277</v>
      </c>
      <c r="K78" s="23">
        <f>SUM(J78:J$127)</f>
        <v>2515503.0470836633</v>
      </c>
      <c r="L78" s="24">
        <f t="shared" si="9"/>
        <v>3.4894230769230775E-2</v>
      </c>
    </row>
    <row r="79" spans="1:15" x14ac:dyDescent="0.25">
      <c r="A79" s="20">
        <f t="shared" si="10"/>
        <v>73</v>
      </c>
      <c r="B79" s="21">
        <f>VLOOKUP(A79,'qx''ler'!$1:$1048576,MATCH(komutasyon_tablo!$A$3,'qx''ler'!$1:$1,0),FALSE)</f>
        <v>4.02E-2</v>
      </c>
      <c r="C79" s="21">
        <f t="shared" si="7"/>
        <v>0.95979999999999999</v>
      </c>
      <c r="D79" s="22">
        <f t="shared" si="11"/>
        <v>6196106.8851853842</v>
      </c>
      <c r="E79" s="22">
        <f t="shared" si="8"/>
        <v>249083.49678445244</v>
      </c>
      <c r="F79" s="23">
        <f t="shared" si="12"/>
        <v>353740.78242679703</v>
      </c>
      <c r="G79" s="23">
        <f>SUM(F79:F$127)</f>
        <v>3063293.3134794999</v>
      </c>
      <c r="H79" s="23">
        <f>SUM(G79:$G$127)</f>
        <v>20722851.109047372</v>
      </c>
      <c r="I79" s="23">
        <f t="shared" si="13"/>
        <v>13673.441782266576</v>
      </c>
      <c r="J79" s="23">
        <f>SUM(I79:I$127)</f>
        <v>235921.80883143155</v>
      </c>
      <c r="K79" s="23">
        <f>SUM(J79:J$127)</f>
        <v>2266260.5785161396</v>
      </c>
      <c r="L79" s="24">
        <f t="shared" si="9"/>
        <v>3.865384615384615E-2</v>
      </c>
    </row>
    <row r="80" spans="1:15" x14ac:dyDescent="0.25">
      <c r="A80" s="20">
        <f t="shared" si="10"/>
        <v>74</v>
      </c>
      <c r="B80" s="21">
        <f>VLOOKUP(A80,'qx''ler'!$1:$1048576,MATCH(komutasyon_tablo!$A$3,'qx''ler'!$1:$1,0),FALSE)</f>
        <v>4.4659999999999998E-2</v>
      </c>
      <c r="C80" s="21">
        <f t="shared" si="7"/>
        <v>0.95533999999999997</v>
      </c>
      <c r="D80" s="22">
        <f t="shared" si="11"/>
        <v>5947023.3884009318</v>
      </c>
      <c r="E80" s="22">
        <f t="shared" si="8"/>
        <v>265594.06452598562</v>
      </c>
      <c r="F80" s="23">
        <f t="shared" si="12"/>
        <v>326461.92593580746</v>
      </c>
      <c r="G80" s="23">
        <f>SUM(F80:F$127)</f>
        <v>2709552.5310527035</v>
      </c>
      <c r="H80" s="23">
        <f>SUM(G80:$G$127)</f>
        <v>17659557.795567878</v>
      </c>
      <c r="I80" s="23">
        <f t="shared" si="13"/>
        <v>14019.028473358812</v>
      </c>
      <c r="J80" s="23">
        <f>SUM(I80:I$127)</f>
        <v>222248.36704916498</v>
      </c>
      <c r="K80" s="23">
        <f>SUM(J80:J$127)</f>
        <v>2030338.769684707</v>
      </c>
      <c r="L80" s="24">
        <f t="shared" si="9"/>
        <v>4.2942307692307703E-2</v>
      </c>
    </row>
    <row r="81" spans="1:12" x14ac:dyDescent="0.25">
      <c r="A81" s="20">
        <f t="shared" si="10"/>
        <v>75</v>
      </c>
      <c r="B81" s="21">
        <f>VLOOKUP(A81,'qx''ler'!$1:$1048576,MATCH(komutasyon_tablo!$A$3,'qx''ler'!$1:$1,0),FALSE)</f>
        <v>4.9549999999999997E-2</v>
      </c>
      <c r="C81" s="21">
        <f t="shared" si="7"/>
        <v>0.95045000000000002</v>
      </c>
      <c r="D81" s="22">
        <f t="shared" si="11"/>
        <v>5681429.3238749467</v>
      </c>
      <c r="E81" s="22">
        <f t="shared" si="8"/>
        <v>281514.82299800357</v>
      </c>
      <c r="F81" s="23">
        <f t="shared" si="12"/>
        <v>299886.66954184073</v>
      </c>
      <c r="G81" s="23">
        <f>SUM(F81:F$127)</f>
        <v>2383090.6051168954</v>
      </c>
      <c r="H81" s="23">
        <f>SUM(G81:$G$127)</f>
        <v>14950005.264515175</v>
      </c>
      <c r="I81" s="23">
        <f t="shared" si="13"/>
        <v>14287.869688267505</v>
      </c>
      <c r="J81" s="23">
        <f>SUM(I81:I$127)</f>
        <v>208229.33857580618</v>
      </c>
      <c r="K81" s="23">
        <f>SUM(J81:J$127)</f>
        <v>1808090.402635542</v>
      </c>
      <c r="L81" s="24">
        <f t="shared" si="9"/>
        <v>4.7644230769230758E-2</v>
      </c>
    </row>
    <row r="82" spans="1:12" x14ac:dyDescent="0.25">
      <c r="A82" s="20">
        <f t="shared" si="10"/>
        <v>76</v>
      </c>
      <c r="B82" s="21">
        <f>VLOOKUP(A82,'qx''ler'!$1:$1048576,MATCH(komutasyon_tablo!$A$3,'qx''ler'!$1:$1,0),FALSE)</f>
        <v>5.4800000000000001E-2</v>
      </c>
      <c r="C82" s="21">
        <f t="shared" si="7"/>
        <v>0.94520000000000004</v>
      </c>
      <c r="D82" s="22">
        <f t="shared" si="11"/>
        <v>5399914.5008769426</v>
      </c>
      <c r="E82" s="22">
        <f t="shared" si="8"/>
        <v>295915.31464805646</v>
      </c>
      <c r="F82" s="23">
        <f t="shared" si="12"/>
        <v>274064.69717888697</v>
      </c>
      <c r="G82" s="23">
        <f>SUM(F82:F$127)</f>
        <v>2083203.9355750547</v>
      </c>
      <c r="H82" s="23">
        <f>SUM(G82:$G$127)</f>
        <v>12566914.659398278</v>
      </c>
      <c r="I82" s="23">
        <f t="shared" si="13"/>
        <v>14441.101351349045</v>
      </c>
      <c r="J82" s="23">
        <f>SUM(I82:I$127)</f>
        <v>193941.46888753868</v>
      </c>
      <c r="K82" s="23">
        <f>SUM(J82:J$127)</f>
        <v>1599861.064059736</v>
      </c>
      <c r="L82" s="24">
        <f t="shared" si="9"/>
        <v>5.2692307692307698E-2</v>
      </c>
    </row>
    <row r="83" spans="1:12" x14ac:dyDescent="0.25">
      <c r="A83" s="20">
        <f t="shared" si="10"/>
        <v>77</v>
      </c>
      <c r="B83" s="21">
        <f>VLOOKUP(A83,'qx''ler'!$1:$1048576,MATCH(komutasyon_tablo!$A$3,'qx''ler'!$1:$1,0),FALSE)</f>
        <v>6.0310000000000002E-2</v>
      </c>
      <c r="C83" s="21">
        <f t="shared" si="7"/>
        <v>0.93969000000000003</v>
      </c>
      <c r="D83" s="22">
        <f t="shared" si="11"/>
        <v>5103999.1862288862</v>
      </c>
      <c r="E83" s="22">
        <f t="shared" si="8"/>
        <v>307822.19092146412</v>
      </c>
      <c r="F83" s="23">
        <f t="shared" si="12"/>
        <v>249082.64593604227</v>
      </c>
      <c r="G83" s="23">
        <f>SUM(F83:F$127)</f>
        <v>1809139.2383961675</v>
      </c>
      <c r="H83" s="23">
        <f>SUM(G83:$G$127)</f>
        <v>10483710.723823225</v>
      </c>
      <c r="I83" s="23">
        <f t="shared" si="13"/>
        <v>14444.398438848759</v>
      </c>
      <c r="J83" s="23">
        <f>SUM(I83:I$127)</f>
        <v>179500.36753618962</v>
      </c>
      <c r="K83" s="23">
        <f>SUM(J83:J$127)</f>
        <v>1405919.5951721973</v>
      </c>
      <c r="L83" s="24">
        <f t="shared" si="9"/>
        <v>5.7990384615384617E-2</v>
      </c>
    </row>
    <row r="84" spans="1:12" x14ac:dyDescent="0.25">
      <c r="A84" s="20">
        <f t="shared" si="10"/>
        <v>78</v>
      </c>
      <c r="B84" s="21">
        <f>VLOOKUP(A84,'qx''ler'!$1:$1048576,MATCH(komutasyon_tablo!$A$3,'qx''ler'!$1:$1,0),FALSE)</f>
        <v>6.6059999999999994E-2</v>
      </c>
      <c r="C84" s="21">
        <f t="shared" si="7"/>
        <v>0.93393999999999999</v>
      </c>
      <c r="D84" s="22">
        <f t="shared" si="11"/>
        <v>4796176.9953074222</v>
      </c>
      <c r="E84" s="22">
        <f t="shared" si="8"/>
        <v>316835.45231000829</v>
      </c>
      <c r="F84" s="23">
        <f t="shared" si="12"/>
        <v>225058.14573042266</v>
      </c>
      <c r="G84" s="23">
        <f>SUM(F84:F$127)</f>
        <v>1560056.5924601252</v>
      </c>
      <c r="H84" s="23">
        <f>SUM(G84:$G$127)</f>
        <v>8674571.4854270592</v>
      </c>
      <c r="I84" s="23">
        <f t="shared" si="13"/>
        <v>14295.520295145885</v>
      </c>
      <c r="J84" s="23">
        <f>SUM(I84:I$127)</f>
        <v>165055.96909734086</v>
      </c>
      <c r="K84" s="23">
        <f>SUM(J84:J$127)</f>
        <v>1226419.2276360078</v>
      </c>
      <c r="L84" s="24">
        <f t="shared" si="9"/>
        <v>6.3519230769230772E-2</v>
      </c>
    </row>
    <row r="85" spans="1:12" x14ac:dyDescent="0.25">
      <c r="A85" s="20">
        <f t="shared" si="10"/>
        <v>79</v>
      </c>
      <c r="B85" s="21">
        <f>VLOOKUP(A85,'qx''ler'!$1:$1048576,MATCH(komutasyon_tablo!$A$3,'qx''ler'!$1:$1,0),FALSE)</f>
        <v>7.2230000000000003E-2</v>
      </c>
      <c r="C85" s="21">
        <f t="shared" si="7"/>
        <v>0.92776999999999998</v>
      </c>
      <c r="D85" s="22">
        <f t="shared" si="11"/>
        <v>4479341.5429974142</v>
      </c>
      <c r="E85" s="22">
        <f t="shared" si="8"/>
        <v>323542.83965070324</v>
      </c>
      <c r="F85" s="23">
        <f t="shared" si="12"/>
        <v>202106.54290718364</v>
      </c>
      <c r="G85" s="23">
        <f>SUM(F85:F$127)</f>
        <v>1334998.4467297026</v>
      </c>
      <c r="H85" s="23">
        <f>SUM(G85:$G$127)</f>
        <v>7114514.8929669298</v>
      </c>
      <c r="I85" s="23">
        <f t="shared" si="13"/>
        <v>14036.688071332568</v>
      </c>
      <c r="J85" s="23">
        <f>SUM(I85:I$127)</f>
        <v>150760.44880219499</v>
      </c>
      <c r="K85" s="23">
        <f>SUM(J85:J$127)</f>
        <v>1061363.2585386671</v>
      </c>
      <c r="L85" s="24">
        <f t="shared" si="9"/>
        <v>6.9451923076923064E-2</v>
      </c>
    </row>
    <row r="86" spans="1:12" x14ac:dyDescent="0.25">
      <c r="A86" s="20">
        <f t="shared" si="10"/>
        <v>80</v>
      </c>
      <c r="B86" s="21">
        <f>VLOOKUP(A86,'qx''ler'!$1:$1048576,MATCH(komutasyon_tablo!$A$3,'qx''ler'!$1:$1,0),FALSE)</f>
        <v>7.9070000000000001E-2</v>
      </c>
      <c r="C86" s="21">
        <f t="shared" si="7"/>
        <v>0.92093000000000003</v>
      </c>
      <c r="D86" s="22">
        <f t="shared" si="11"/>
        <v>4155798.7033467111</v>
      </c>
      <c r="E86" s="22">
        <f t="shared" si="8"/>
        <v>328599.00347362447</v>
      </c>
      <c r="F86" s="23">
        <f t="shared" si="12"/>
        <v>180296.52626249782</v>
      </c>
      <c r="G86" s="23">
        <f>SUM(F86:F$127)</f>
        <v>1132891.9038225194</v>
      </c>
      <c r="H86" s="23">
        <f>SUM(G86:$G$127)</f>
        <v>5779516.4462372269</v>
      </c>
      <c r="I86" s="23">
        <f t="shared" si="13"/>
        <v>13707.73685728433</v>
      </c>
      <c r="J86" s="23">
        <f>SUM(I86:I$127)</f>
        <v>136723.76073086244</v>
      </c>
      <c r="K86" s="23">
        <f>SUM(J86:J$127)</f>
        <v>910602.80973647197</v>
      </c>
      <c r="L86" s="24">
        <f t="shared" si="9"/>
        <v>7.6028846153846155E-2</v>
      </c>
    </row>
    <row r="87" spans="1:12" x14ac:dyDescent="0.25">
      <c r="A87" s="20">
        <f t="shared" si="10"/>
        <v>81</v>
      </c>
      <c r="B87" s="21">
        <f>VLOOKUP(A87,'qx''ler'!$1:$1048576,MATCH(komutasyon_tablo!$A$3,'qx''ler'!$1:$1,0),FALSE)</f>
        <v>8.6800000000000002E-2</v>
      </c>
      <c r="C87" s="21">
        <f t="shared" si="7"/>
        <v>0.91320000000000001</v>
      </c>
      <c r="D87" s="22">
        <f t="shared" si="11"/>
        <v>3827199.6998730865</v>
      </c>
      <c r="E87" s="22">
        <f t="shared" si="8"/>
        <v>332200.9339489839</v>
      </c>
      <c r="F87" s="23">
        <f t="shared" si="12"/>
        <v>159654.30762588663</v>
      </c>
      <c r="G87" s="23">
        <f>SUM(F87:F$127)</f>
        <v>952595.37756002147</v>
      </c>
      <c r="H87" s="23">
        <f>SUM(G87:$G$127)</f>
        <v>4646624.5424147081</v>
      </c>
      <c r="I87" s="23">
        <f t="shared" si="13"/>
        <v>13324.994136468231</v>
      </c>
      <c r="J87" s="23">
        <f>SUM(I87:I$127)</f>
        <v>123016.02387357807</v>
      </c>
      <c r="K87" s="23">
        <f>SUM(J87:J$127)</f>
        <v>773879.04900560947</v>
      </c>
      <c r="L87" s="24">
        <f t="shared" si="9"/>
        <v>8.3461538461538462E-2</v>
      </c>
    </row>
    <row r="88" spans="1:12" x14ac:dyDescent="0.25">
      <c r="A88" s="20">
        <f t="shared" si="10"/>
        <v>82</v>
      </c>
      <c r="B88" s="21">
        <f>VLOOKUP(A88,'qx''ler'!$1:$1048576,MATCH(komutasyon_tablo!$A$3,'qx''ler'!$1:$1,0),FALSE)</f>
        <v>9.5680000000000001E-2</v>
      </c>
      <c r="C88" s="21">
        <f t="shared" si="7"/>
        <v>0.90432000000000001</v>
      </c>
      <c r="D88" s="22">
        <f t="shared" si="11"/>
        <v>3494998.7659241026</v>
      </c>
      <c r="E88" s="22">
        <f t="shared" si="8"/>
        <v>334401.48192361812</v>
      </c>
      <c r="F88" s="23">
        <f t="shared" si="12"/>
        <v>140188.76319611506</v>
      </c>
      <c r="G88" s="23">
        <f>SUM(F88:F$127)</f>
        <v>792941.06993413495</v>
      </c>
      <c r="H88" s="23">
        <f>SUM(G88:$G$127)</f>
        <v>3694029.1648546858</v>
      </c>
      <c r="I88" s="23">
        <f t="shared" si="13"/>
        <v>12897.366214042584</v>
      </c>
      <c r="J88" s="23">
        <f>SUM(I88:I$127)</f>
        <v>109691.02973710983</v>
      </c>
      <c r="K88" s="23">
        <f>SUM(J88:J$127)</f>
        <v>650863.02513203141</v>
      </c>
      <c r="L88" s="24">
        <f t="shared" si="9"/>
        <v>9.1999999999999985E-2</v>
      </c>
    </row>
    <row r="89" spans="1:12" x14ac:dyDescent="0.25">
      <c r="A89" s="20">
        <f t="shared" si="10"/>
        <v>83</v>
      </c>
      <c r="B89" s="21">
        <f>VLOOKUP(A89,'qx''ler'!$1:$1048576,MATCH(komutasyon_tablo!$A$3,'qx''ler'!$1:$1,0),FALSE)</f>
        <v>0.10581</v>
      </c>
      <c r="C89" s="21">
        <f t="shared" si="7"/>
        <v>0.89419000000000004</v>
      </c>
      <c r="D89" s="22">
        <f t="shared" si="11"/>
        <v>3160597.2840004843</v>
      </c>
      <c r="E89" s="22">
        <f t="shared" si="8"/>
        <v>334422.79862009123</v>
      </c>
      <c r="F89" s="23">
        <f t="shared" si="12"/>
        <v>121899.52147452958</v>
      </c>
      <c r="G89" s="23">
        <f>SUM(F89:F$127)</f>
        <v>652752.30673801992</v>
      </c>
      <c r="H89" s="23">
        <f>SUM(G89:$G$127)</f>
        <v>2901088.0949205505</v>
      </c>
      <c r="I89" s="23">
        <f t="shared" si="13"/>
        <v>12402.104199249974</v>
      </c>
      <c r="J89" s="23">
        <f>SUM(I89:I$127)</f>
        <v>96793.66352306724</v>
      </c>
      <c r="K89" s="23">
        <f>SUM(J89:J$127)</f>
        <v>541171.99539492151</v>
      </c>
      <c r="L89" s="24">
        <f t="shared" si="9"/>
        <v>0.10174038461538459</v>
      </c>
    </row>
    <row r="90" spans="1:12" x14ac:dyDescent="0.25">
      <c r="A90" s="20">
        <f t="shared" si="10"/>
        <v>84</v>
      </c>
      <c r="B90" s="21">
        <f>VLOOKUP(A90,'qx''ler'!$1:$1048576,MATCH(komutasyon_tablo!$A$3,'qx''ler'!$1:$1,0),FALSE)</f>
        <v>0.11702</v>
      </c>
      <c r="C90" s="21">
        <f t="shared" si="7"/>
        <v>0.88297999999999999</v>
      </c>
      <c r="D90" s="22">
        <f t="shared" si="11"/>
        <v>2826174.485380393</v>
      </c>
      <c r="E90" s="22">
        <f t="shared" si="8"/>
        <v>330718.93827921356</v>
      </c>
      <c r="F90" s="23">
        <f t="shared" si="12"/>
        <v>104808.97414164385</v>
      </c>
      <c r="G90" s="23">
        <f>SUM(F90:F$127)</f>
        <v>530852.78526349028</v>
      </c>
      <c r="H90" s="23">
        <f>SUM(G90:$G$127)</f>
        <v>2248335.7881825306</v>
      </c>
      <c r="I90" s="23">
        <f t="shared" si="13"/>
        <v>11793.02514812996</v>
      </c>
      <c r="J90" s="23">
        <f>SUM(I90:I$127)</f>
        <v>84391.559323817273</v>
      </c>
      <c r="K90" s="23">
        <f>SUM(J90:J$127)</f>
        <v>444378.33187185437</v>
      </c>
      <c r="L90" s="24">
        <f t="shared" si="9"/>
        <v>0.11251923076923073</v>
      </c>
    </row>
    <row r="91" spans="1:12" x14ac:dyDescent="0.25">
      <c r="A91" s="20">
        <f t="shared" si="10"/>
        <v>85</v>
      </c>
      <c r="B91" s="21">
        <f>VLOOKUP(A91,'qx''ler'!$1:$1048576,MATCH(komutasyon_tablo!$A$3,'qx''ler'!$1:$1,0),FALSE)</f>
        <v>0.12911</v>
      </c>
      <c r="C91" s="21">
        <f t="shared" si="7"/>
        <v>0.87088999999999994</v>
      </c>
      <c r="D91" s="22">
        <f t="shared" si="11"/>
        <v>2495455.5471011796</v>
      </c>
      <c r="E91" s="22">
        <f t="shared" si="8"/>
        <v>322188.2656862333</v>
      </c>
      <c r="F91" s="23">
        <f t="shared" si="12"/>
        <v>88984.834603450639</v>
      </c>
      <c r="G91" s="23">
        <f>SUM(F91:F$127)</f>
        <v>426043.81112184632</v>
      </c>
      <c r="H91" s="23">
        <f>SUM(G91:$G$127)</f>
        <v>1717483.0029190413</v>
      </c>
      <c r="I91" s="23">
        <f t="shared" si="13"/>
        <v>11046.953841972607</v>
      </c>
      <c r="J91" s="23">
        <f>SUM(I91:I$127)</f>
        <v>72598.534175687324</v>
      </c>
      <c r="K91" s="23">
        <f>SUM(J91:J$127)</f>
        <v>359986.77254803706</v>
      </c>
      <c r="L91" s="24">
        <f t="shared" si="9"/>
        <v>0.12414423076923076</v>
      </c>
    </row>
    <row r="92" spans="1:12" x14ac:dyDescent="0.25">
      <c r="A92" s="20">
        <f t="shared" si="10"/>
        <v>86</v>
      </c>
      <c r="B92" s="21">
        <f>VLOOKUP(A92,'qx''ler'!$1:$1048576,MATCH(komutasyon_tablo!$A$3,'qx''ler'!$1:$1,0),FALSE)</f>
        <v>0.14191000000000001</v>
      </c>
      <c r="C92" s="21">
        <f t="shared" si="7"/>
        <v>0.85809000000000002</v>
      </c>
      <c r="D92" s="22">
        <f t="shared" si="11"/>
        <v>2173267.2814149465</v>
      </c>
      <c r="E92" s="22">
        <f t="shared" si="8"/>
        <v>308408.35990559508</v>
      </c>
      <c r="F92" s="23">
        <f t="shared" si="12"/>
        <v>74515.387122883782</v>
      </c>
      <c r="G92" s="23">
        <f>SUM(F92:F$127)</f>
        <v>337058.97651839571</v>
      </c>
      <c r="H92" s="23">
        <f>SUM(G92:$G$127)</f>
        <v>1291439.1917971948</v>
      </c>
      <c r="I92" s="23">
        <f t="shared" si="13"/>
        <v>10167.767871738886</v>
      </c>
      <c r="J92" s="23">
        <f>SUM(I92:I$127)</f>
        <v>61551.58033371473</v>
      </c>
      <c r="K92" s="23">
        <f>SUM(J92:J$127)</f>
        <v>287388.23837234976</v>
      </c>
      <c r="L92" s="24">
        <f t="shared" si="9"/>
        <v>0.13645192307692314</v>
      </c>
    </row>
    <row r="93" spans="1:12" x14ac:dyDescent="0.25">
      <c r="A93" s="20">
        <f t="shared" si="10"/>
        <v>87</v>
      </c>
      <c r="B93" s="21">
        <f>VLOOKUP(A93,'qx''ler'!$1:$1048576,MATCH(komutasyon_tablo!$A$3,'qx''ler'!$1:$1,0),FALSE)</f>
        <v>0.15540999999999999</v>
      </c>
      <c r="C93" s="21">
        <f t="shared" si="7"/>
        <v>0.84458999999999995</v>
      </c>
      <c r="D93" s="22">
        <f t="shared" si="11"/>
        <v>1864858.9215093516</v>
      </c>
      <c r="E93" s="22">
        <f t="shared" si="8"/>
        <v>289817.72499176831</v>
      </c>
      <c r="F93" s="23">
        <f t="shared" si="12"/>
        <v>61481.642823341695</v>
      </c>
      <c r="G93" s="23">
        <f>SUM(F93:F$127)</f>
        <v>262543.58939551195</v>
      </c>
      <c r="H93" s="23">
        <f>SUM(G93:$G$127)</f>
        <v>954380.21527879895</v>
      </c>
      <c r="I93" s="23">
        <f t="shared" si="13"/>
        <v>9187.3674145918558</v>
      </c>
      <c r="J93" s="23">
        <f>SUM(I93:I$127)</f>
        <v>51383.812461975846</v>
      </c>
      <c r="K93" s="23">
        <f>SUM(J93:J$127)</f>
        <v>225836.65803863504</v>
      </c>
      <c r="L93" s="24">
        <f t="shared" si="9"/>
        <v>0.14943269230769227</v>
      </c>
    </row>
    <row r="94" spans="1:12" x14ac:dyDescent="0.25">
      <c r="A94" s="20">
        <f t="shared" si="10"/>
        <v>88</v>
      </c>
      <c r="B94" s="21">
        <f>VLOOKUP(A94,'qx''ler'!$1:$1048576,MATCH(komutasyon_tablo!$A$3,'qx''ler'!$1:$1,0),FALSE)</f>
        <v>0.16955000000000001</v>
      </c>
      <c r="C94" s="21">
        <f t="shared" si="7"/>
        <v>0.83045000000000002</v>
      </c>
      <c r="D94" s="22">
        <f t="shared" si="11"/>
        <v>1575041.1965175832</v>
      </c>
      <c r="E94" s="22">
        <f t="shared" si="8"/>
        <v>267048.23486955627</v>
      </c>
      <c r="F94" s="23">
        <f t="shared" si="12"/>
        <v>49929.596838621299</v>
      </c>
      <c r="G94" s="23">
        <f>SUM(F94:F$127)</f>
        <v>201061.94657217024</v>
      </c>
      <c r="H94" s="23">
        <f>SUM(G94:$G$127)</f>
        <v>691836.62588328694</v>
      </c>
      <c r="I94" s="23">
        <f t="shared" si="13"/>
        <v>8139.9645615271565</v>
      </c>
      <c r="J94" s="23">
        <f>SUM(I94:I$127)</f>
        <v>42196.445047383982</v>
      </c>
      <c r="K94" s="23">
        <f>SUM(J94:J$127)</f>
        <v>174452.84557665922</v>
      </c>
      <c r="L94" s="24">
        <f t="shared" si="9"/>
        <v>0.16302884615384619</v>
      </c>
    </row>
    <row r="95" spans="1:12" x14ac:dyDescent="0.25">
      <c r="A95" s="20">
        <f t="shared" si="10"/>
        <v>89</v>
      </c>
      <c r="B95" s="21">
        <f>VLOOKUP(A95,'qx''ler'!$1:$1048576,MATCH(komutasyon_tablo!$A$3,'qx''ler'!$1:$1,0),FALSE)</f>
        <v>0.18445</v>
      </c>
      <c r="C95" s="21">
        <f t="shared" si="7"/>
        <v>0.81555</v>
      </c>
      <c r="D95" s="22">
        <f t="shared" si="11"/>
        <v>1307992.9616480269</v>
      </c>
      <c r="E95" s="22">
        <f t="shared" si="8"/>
        <v>241259.30177597859</v>
      </c>
      <c r="F95" s="23">
        <f t="shared" si="12"/>
        <v>39869.263167916404</v>
      </c>
      <c r="G95" s="23">
        <f>SUM(F95:F$127)</f>
        <v>151132.34973354894</v>
      </c>
      <c r="H95" s="23">
        <f>SUM(G95:$G$127)</f>
        <v>490774.67931111687</v>
      </c>
      <c r="I95" s="23">
        <f t="shared" si="13"/>
        <v>7071.0438378097888</v>
      </c>
      <c r="J95" s="23">
        <f>SUM(I95:I$127)</f>
        <v>34056.480485856817</v>
      </c>
      <c r="K95" s="23">
        <f>SUM(J95:J$127)</f>
        <v>132256.40052927524</v>
      </c>
      <c r="L95" s="24">
        <f t="shared" si="9"/>
        <v>0.17735576923076923</v>
      </c>
    </row>
    <row r="96" spans="1:12" x14ac:dyDescent="0.25">
      <c r="A96" s="20">
        <f t="shared" si="10"/>
        <v>90</v>
      </c>
      <c r="B96" s="21">
        <f>VLOOKUP(A96,'qx''ler'!$1:$1048576,MATCH(komutasyon_tablo!$A$3,'qx''ler'!$1:$1,0),FALSE)</f>
        <v>0.20022999999999999</v>
      </c>
      <c r="C96" s="21">
        <f t="shared" si="7"/>
        <v>0.79976999999999998</v>
      </c>
      <c r="D96" s="22">
        <f t="shared" si="11"/>
        <v>1066733.6598720483</v>
      </c>
      <c r="E96" s="22">
        <f t="shared" si="8"/>
        <v>213592.08071618021</v>
      </c>
      <c r="F96" s="23">
        <f t="shared" si="12"/>
        <v>31264.786131340596</v>
      </c>
      <c r="G96" s="23">
        <f>SUM(F96:F$127)</f>
        <v>111263.08656563256</v>
      </c>
      <c r="H96" s="23">
        <f>SUM(G96:$G$127)</f>
        <v>339642.32957756793</v>
      </c>
      <c r="I96" s="23">
        <f t="shared" si="13"/>
        <v>6019.3731991137747</v>
      </c>
      <c r="J96" s="23">
        <f>SUM(I96:I$127)</f>
        <v>26985.436648047027</v>
      </c>
      <c r="K96" s="23">
        <f>SUM(J96:J$127)</f>
        <v>98199.920043418388</v>
      </c>
      <c r="L96" s="24">
        <f t="shared" si="9"/>
        <v>0.19252884615384611</v>
      </c>
    </row>
    <row r="97" spans="1:12" x14ac:dyDescent="0.25">
      <c r="A97" s="20">
        <f t="shared" si="10"/>
        <v>91</v>
      </c>
      <c r="B97" s="21">
        <f>VLOOKUP(A97,'qx''ler'!$1:$1048576,MATCH(komutasyon_tablo!$A$3,'qx''ler'!$1:$1,0),FALSE)</f>
        <v>0.21723000000000001</v>
      </c>
      <c r="C97" s="21">
        <f t="shared" si="7"/>
        <v>0.78276999999999997</v>
      </c>
      <c r="D97" s="22">
        <f t="shared" si="11"/>
        <v>853141.57915586815</v>
      </c>
      <c r="E97" s="22">
        <f t="shared" si="8"/>
        <v>185327.94524002925</v>
      </c>
      <c r="F97" s="23">
        <f t="shared" si="12"/>
        <v>24042.921157944489</v>
      </c>
      <c r="G97" s="23">
        <f>SUM(F97:F$127)</f>
        <v>79998.300434291974</v>
      </c>
      <c r="H97" s="23">
        <f>SUM(G97:$G$127)</f>
        <v>228379.24301193532</v>
      </c>
      <c r="I97" s="23">
        <f t="shared" si="13"/>
        <v>5021.9651568656554</v>
      </c>
      <c r="J97" s="23">
        <f>SUM(I97:I$127)</f>
        <v>20966.063448933255</v>
      </c>
      <c r="K97" s="23">
        <f>SUM(J97:J$127)</f>
        <v>71214.483395371353</v>
      </c>
      <c r="L97" s="24">
        <f t="shared" si="9"/>
        <v>0.20887500000000001</v>
      </c>
    </row>
    <row r="98" spans="1:12" x14ac:dyDescent="0.25">
      <c r="A98" s="20">
        <f t="shared" si="10"/>
        <v>92</v>
      </c>
      <c r="B98" s="21">
        <f>VLOOKUP(A98,'qx''ler'!$1:$1048576,MATCH(komutasyon_tablo!$A$3,'qx''ler'!$1:$1,0),FALSE)</f>
        <v>0.23591000000000001</v>
      </c>
      <c r="C98" s="21">
        <f t="shared" si="7"/>
        <v>0.76408999999999994</v>
      </c>
      <c r="D98" s="22">
        <f t="shared" si="11"/>
        <v>667813.6339158389</v>
      </c>
      <c r="E98" s="22">
        <f t="shared" si="8"/>
        <v>157543.91437708557</v>
      </c>
      <c r="F98" s="23">
        <f t="shared" si="12"/>
        <v>18096.228264234815</v>
      </c>
      <c r="G98" s="23">
        <f>SUM(F98:F$127)</f>
        <v>55955.379276347478</v>
      </c>
      <c r="H98" s="23">
        <f>SUM(G98:$G$127)</f>
        <v>148380.94257764332</v>
      </c>
      <c r="I98" s="23">
        <f t="shared" si="13"/>
        <v>4104.8857786688795</v>
      </c>
      <c r="J98" s="23">
        <f>SUM(I98:I$127)</f>
        <v>15944.0982920676</v>
      </c>
      <c r="K98" s="23">
        <f>SUM(J98:J$127)</f>
        <v>50248.419946438124</v>
      </c>
      <c r="L98" s="24">
        <f t="shared" si="9"/>
        <v>0.22683653846153845</v>
      </c>
    </row>
    <row r="99" spans="1:12" x14ac:dyDescent="0.25">
      <c r="A99" s="20">
        <f t="shared" si="10"/>
        <v>93</v>
      </c>
      <c r="B99" s="21">
        <f>VLOOKUP(A99,'qx''ler'!$1:$1048576,MATCH(komutasyon_tablo!$A$3,'qx''ler'!$1:$1,0),FALSE)</f>
        <v>0.25742999999999999</v>
      </c>
      <c r="C99" s="21">
        <f t="shared" si="7"/>
        <v>0.74256999999999995</v>
      </c>
      <c r="D99" s="22">
        <f t="shared" si="11"/>
        <v>510269.71953875333</v>
      </c>
      <c r="E99" s="22">
        <f t="shared" si="8"/>
        <v>131358.73390086126</v>
      </c>
      <c r="F99" s="23">
        <f t="shared" si="12"/>
        <v>13295.333706172285</v>
      </c>
      <c r="G99" s="23">
        <f>SUM(F99:F$127)</f>
        <v>37859.151012112663</v>
      </c>
      <c r="H99" s="23">
        <f>SUM(G99:$G$127)</f>
        <v>92425.563301295857</v>
      </c>
      <c r="I99" s="23">
        <f t="shared" si="13"/>
        <v>3290.978611519165</v>
      </c>
      <c r="J99" s="23">
        <f>SUM(I99:I$127)</f>
        <v>11839.212513398721</v>
      </c>
      <c r="K99" s="23">
        <f>SUM(J99:J$127)</f>
        <v>34304.321654370513</v>
      </c>
      <c r="L99" s="24">
        <f t="shared" si="9"/>
        <v>0.24752884615384618</v>
      </c>
    </row>
    <row r="100" spans="1:12" x14ac:dyDescent="0.25">
      <c r="A100" s="20">
        <f t="shared" si="10"/>
        <v>94</v>
      </c>
      <c r="B100" s="21">
        <f>VLOOKUP(A100,'qx''ler'!$1:$1048576,MATCH(komutasyon_tablo!$A$3,'qx''ler'!$1:$1,0),FALSE)</f>
        <v>0.28381000000000001</v>
      </c>
      <c r="C100" s="21">
        <f t="shared" si="7"/>
        <v>0.71618999999999999</v>
      </c>
      <c r="D100" s="22">
        <f t="shared" si="11"/>
        <v>378910.98563789204</v>
      </c>
      <c r="E100" s="22">
        <f t="shared" si="8"/>
        <v>107538.72683389015</v>
      </c>
      <c r="F100" s="23">
        <f t="shared" si="12"/>
        <v>9492.9961059541874</v>
      </c>
      <c r="G100" s="23">
        <f>SUM(F100:F$127)</f>
        <v>24563.817305940385</v>
      </c>
      <c r="H100" s="23">
        <f>SUM(G100:$G$127)</f>
        <v>54566.412289183187</v>
      </c>
      <c r="I100" s="23">
        <f t="shared" si="13"/>
        <v>2590.5838700296713</v>
      </c>
      <c r="J100" s="23">
        <f>SUM(I100:I$127)</f>
        <v>8548.2339018795556</v>
      </c>
      <c r="K100" s="23">
        <f>SUM(J100:J$127)</f>
        <v>22465.109140971796</v>
      </c>
      <c r="L100" s="24">
        <f t="shared" si="9"/>
        <v>0.27289423076923081</v>
      </c>
    </row>
    <row r="101" spans="1:12" x14ac:dyDescent="0.25">
      <c r="A101" s="20">
        <f t="shared" si="10"/>
        <v>95</v>
      </c>
      <c r="B101" s="21">
        <f>VLOOKUP(A101,'qx''ler'!$1:$1048576,MATCH(komutasyon_tablo!$A$3,'qx''ler'!$1:$1,0),FALSE)</f>
        <v>0.32074000000000003</v>
      </c>
      <c r="C101" s="21">
        <f t="shared" si="7"/>
        <v>0.67925999999999997</v>
      </c>
      <c r="D101" s="22">
        <f t="shared" si="11"/>
        <v>271372.2588040019</v>
      </c>
      <c r="E101" s="22">
        <f t="shared" si="8"/>
        <v>87039.938288795573</v>
      </c>
      <c r="F101" s="23">
        <f t="shared" si="12"/>
        <v>6537.2970010801237</v>
      </c>
      <c r="G101" s="23">
        <f>SUM(F101:F$127)</f>
        <v>15070.821199986196</v>
      </c>
      <c r="H101" s="23">
        <f>SUM(G101:$G$127)</f>
        <v>30002.594983242809</v>
      </c>
      <c r="I101" s="23">
        <f t="shared" si="13"/>
        <v>2016.1275385831143</v>
      </c>
      <c r="J101" s="23">
        <f>SUM(I101:I$127)</f>
        <v>5957.6500318498847</v>
      </c>
      <c r="K101" s="23">
        <f>SUM(J101:J$127)</f>
        <v>13916.875239092242</v>
      </c>
      <c r="L101" s="24">
        <f t="shared" si="9"/>
        <v>0.30840384615384614</v>
      </c>
    </row>
    <row r="102" spans="1:12" x14ac:dyDescent="0.25">
      <c r="A102" s="20">
        <f t="shared" si="10"/>
        <v>96</v>
      </c>
      <c r="B102" s="21">
        <f>VLOOKUP(A102,'qx''ler'!$1:$1048576,MATCH(komutasyon_tablo!$A$3,'qx''ler'!$1:$1,0),FALSE)</f>
        <v>0.37792999999999999</v>
      </c>
      <c r="C102" s="21">
        <f>1-B102</f>
        <v>0.62207000000000001</v>
      </c>
      <c r="D102" s="22">
        <f t="shared" si="11"/>
        <v>184332.32051520632</v>
      </c>
      <c r="E102" s="22">
        <f>D102*B102</f>
        <v>69664.71389231192</v>
      </c>
      <c r="F102" s="23">
        <f t="shared" si="12"/>
        <v>4269.7349624554654</v>
      </c>
      <c r="G102" s="23">
        <f>SUM(F102:F$127)</f>
        <v>8533.5241989060723</v>
      </c>
      <c r="H102" s="23">
        <f>SUM(G102:$G$127)</f>
        <v>14931.773783256609</v>
      </c>
      <c r="I102" s="23">
        <f t="shared" si="13"/>
        <v>1551.5970522699943</v>
      </c>
      <c r="J102" s="23">
        <f>SUM(I102:I$127)</f>
        <v>3941.5224932667702</v>
      </c>
      <c r="K102" s="23">
        <f>SUM(J102:J$127)</f>
        <v>7959.2252072423562</v>
      </c>
      <c r="L102" s="24">
        <f t="shared" si="9"/>
        <v>0.36339423076923077</v>
      </c>
    </row>
    <row r="103" spans="1:12" x14ac:dyDescent="0.25">
      <c r="A103" s="20">
        <f t="shared" si="10"/>
        <v>97</v>
      </c>
      <c r="B103" s="21">
        <f>VLOOKUP(A103,'qx''ler'!$1:$1048576,MATCH(komutasyon_tablo!$A$3,'qx''ler'!$1:$1,0),FALSE)</f>
        <v>0.47660999999999998</v>
      </c>
      <c r="C103" s="21">
        <f>1-B103</f>
        <v>0.52339000000000002</v>
      </c>
      <c r="D103" s="22">
        <f t="shared" si="11"/>
        <v>114667.6066228944</v>
      </c>
      <c r="E103" s="22">
        <f>D103*B103</f>
        <v>54651.727992537693</v>
      </c>
      <c r="F103" s="23">
        <f t="shared" si="12"/>
        <v>2553.9173347064152</v>
      </c>
      <c r="G103" s="23">
        <f>SUM(F103:F$127)</f>
        <v>4263.7892364506069</v>
      </c>
      <c r="H103" s="23">
        <f>SUM(G103:$G$127)</f>
        <v>6398.2495843505376</v>
      </c>
      <c r="I103" s="23">
        <f t="shared" si="13"/>
        <v>1170.4062893215616</v>
      </c>
      <c r="J103" s="23">
        <f>SUM(I103:I$127)</f>
        <v>2389.9254409967757</v>
      </c>
      <c r="K103" s="23">
        <f>SUM(J103:J$127)</f>
        <v>4017.7027139755851</v>
      </c>
      <c r="L103" s="24">
        <f t="shared" si="9"/>
        <v>0.45827884615384601</v>
      </c>
    </row>
    <row r="104" spans="1:12" x14ac:dyDescent="0.25">
      <c r="A104" s="20">
        <f t="shared" si="10"/>
        <v>98</v>
      </c>
      <c r="B104" s="21">
        <f>VLOOKUP(A104,'qx''ler'!$1:$1048576,MATCH(komutasyon_tablo!$A$3,'qx''ler'!$1:$1,0),FALSE)</f>
        <v>0.65644000000000002</v>
      </c>
      <c r="C104" s="21">
        <f>1-B104</f>
        <v>0.34355999999999998</v>
      </c>
      <c r="D104" s="22">
        <f t="shared" si="11"/>
        <v>60015.878630356703</v>
      </c>
      <c r="E104" s="22">
        <f>D104*B104</f>
        <v>39396.823368111356</v>
      </c>
      <c r="F104" s="23">
        <f t="shared" si="12"/>
        <v>1285.2834555884524</v>
      </c>
      <c r="G104" s="23">
        <f>SUM(F104:F$127)</f>
        <v>1709.8719017441915</v>
      </c>
      <c r="H104" s="23">
        <f>SUM(G104:$G$127)</f>
        <v>2134.4603478999306</v>
      </c>
      <c r="I104" s="23">
        <f t="shared" si="13"/>
        <v>811.26103037161897</v>
      </c>
      <c r="J104" s="23">
        <f>SUM(I104:I$127)</f>
        <v>1219.5191516752143</v>
      </c>
      <c r="K104" s="23">
        <f>SUM(J104:J$127)</f>
        <v>1627.7772729788096</v>
      </c>
      <c r="L104" s="24">
        <f t="shared" si="9"/>
        <v>0.63119230769230772</v>
      </c>
    </row>
    <row r="105" spans="1:12" x14ac:dyDescent="0.25">
      <c r="A105" s="20">
        <f t="shared" si="10"/>
        <v>99</v>
      </c>
      <c r="B105" s="21">
        <f>VLOOKUP(A105,'qx''ler'!$1:$1048576,MATCH(komutasyon_tablo!$A$3,'qx''ler'!$1:$1,0),FALSE)</f>
        <v>1</v>
      </c>
      <c r="C105" s="21">
        <f>1-B105</f>
        <v>0</v>
      </c>
      <c r="D105" s="22">
        <f t="shared" si="11"/>
        <v>20619.055262245347</v>
      </c>
      <c r="E105" s="22">
        <f>D105*B105</f>
        <v>20619.055262245347</v>
      </c>
      <c r="F105" s="23">
        <f t="shared" si="12"/>
        <v>424.58844615573906</v>
      </c>
      <c r="G105" s="23">
        <f>SUM(F105:F$127)</f>
        <v>424.58844615573906</v>
      </c>
      <c r="H105" s="23">
        <f>SUM(G105:$G$127)</f>
        <v>424.58844615573906</v>
      </c>
      <c r="I105" s="23">
        <f t="shared" si="13"/>
        <v>408.25812130359526</v>
      </c>
      <c r="J105" s="23">
        <f>SUM(I105:I$127)</f>
        <v>408.25812130359526</v>
      </c>
      <c r="K105" s="23">
        <f>SUM(J105:J$127)</f>
        <v>408.25812130359526</v>
      </c>
      <c r="L105" s="24">
        <f t="shared" si="9"/>
        <v>0.96153846153846156</v>
      </c>
    </row>
    <row r="106" spans="1:12" x14ac:dyDescent="0.25">
      <c r="A106" s="20">
        <f t="shared" si="10"/>
        <v>100</v>
      </c>
      <c r="B106" s="21">
        <f>VLOOKUP(A106,'qx''ler'!$1:$1048576,MATCH(komutasyon_tablo!$A$3,'qx''ler'!$1:$1,0),FALSE)</f>
        <v>0</v>
      </c>
      <c r="C106" s="21">
        <f t="shared" ref="C106:C127" si="14">1-B106</f>
        <v>1</v>
      </c>
      <c r="D106" s="22">
        <f t="shared" si="11"/>
        <v>0</v>
      </c>
      <c r="E106" s="22">
        <f t="shared" ref="E106:E122" si="15">D106*B106</f>
        <v>0</v>
      </c>
      <c r="F106" s="23">
        <f t="shared" si="12"/>
        <v>0</v>
      </c>
      <c r="G106" s="23">
        <f>SUM(F106:F$127)</f>
        <v>0</v>
      </c>
      <c r="H106" s="23">
        <f>SUM(G106:$G$127)</f>
        <v>0</v>
      </c>
      <c r="I106" s="23">
        <f t="shared" si="13"/>
        <v>0</v>
      </c>
      <c r="J106" s="23">
        <f>SUM(I106:I$127)</f>
        <v>0</v>
      </c>
      <c r="K106" s="23">
        <f>SUM(J106:J$127)</f>
        <v>0</v>
      </c>
      <c r="L106" s="24" t="e">
        <f t="shared" si="9"/>
        <v>#DIV/0!</v>
      </c>
    </row>
    <row r="107" spans="1:12" x14ac:dyDescent="0.25">
      <c r="A107" s="20">
        <f t="shared" si="10"/>
        <v>101</v>
      </c>
      <c r="B107" s="21">
        <f>VLOOKUP(A107,'qx''ler'!$1:$1048576,MATCH(komutasyon_tablo!$A$3,'qx''ler'!$1:$1,0),FALSE)</f>
        <v>0</v>
      </c>
      <c r="C107" s="21">
        <f t="shared" si="14"/>
        <v>1</v>
      </c>
      <c r="D107" s="22">
        <f t="shared" si="11"/>
        <v>0</v>
      </c>
      <c r="E107" s="22">
        <f t="shared" si="15"/>
        <v>0</v>
      </c>
      <c r="F107" s="23">
        <f t="shared" si="12"/>
        <v>0</v>
      </c>
      <c r="G107" s="23">
        <f>SUM(F107:F$127)</f>
        <v>0</v>
      </c>
      <c r="H107" s="23">
        <f>SUM(G107:$G$127)</f>
        <v>0</v>
      </c>
      <c r="I107" s="23">
        <f t="shared" si="13"/>
        <v>0</v>
      </c>
      <c r="J107" s="23">
        <f>SUM(I107:I$127)</f>
        <v>0</v>
      </c>
      <c r="K107" s="23">
        <f>SUM(J107:J$127)</f>
        <v>0</v>
      </c>
      <c r="L107" s="24" t="e">
        <f t="shared" si="9"/>
        <v>#DIV/0!</v>
      </c>
    </row>
    <row r="108" spans="1:12" x14ac:dyDescent="0.25">
      <c r="A108" s="20">
        <f t="shared" si="10"/>
        <v>102</v>
      </c>
      <c r="B108" s="21">
        <f>VLOOKUP(A108,'qx''ler'!$1:$1048576,MATCH(komutasyon_tablo!$A$3,'qx''ler'!$1:$1,0),FALSE)</f>
        <v>0</v>
      </c>
      <c r="C108" s="21">
        <f t="shared" si="14"/>
        <v>1</v>
      </c>
      <c r="D108" s="22">
        <f t="shared" si="11"/>
        <v>0</v>
      </c>
      <c r="E108" s="22">
        <f t="shared" si="15"/>
        <v>0</v>
      </c>
      <c r="F108" s="23">
        <f t="shared" si="12"/>
        <v>0</v>
      </c>
      <c r="G108" s="23">
        <f>SUM(F108:F$127)</f>
        <v>0</v>
      </c>
      <c r="H108" s="23">
        <f>SUM(G108:$G$127)</f>
        <v>0</v>
      </c>
      <c r="I108" s="23">
        <f t="shared" si="13"/>
        <v>0</v>
      </c>
      <c r="J108" s="23">
        <f>SUM(I108:I$127)</f>
        <v>0</v>
      </c>
      <c r="K108" s="23">
        <f>SUM(J108:J$127)</f>
        <v>0</v>
      </c>
      <c r="L108" s="24" t="e">
        <f t="shared" si="9"/>
        <v>#DIV/0!</v>
      </c>
    </row>
    <row r="109" spans="1:12" x14ac:dyDescent="0.25">
      <c r="A109" s="20">
        <f t="shared" si="10"/>
        <v>103</v>
      </c>
      <c r="B109" s="21">
        <f>VLOOKUP(A109,'qx''ler'!$1:$1048576,MATCH(komutasyon_tablo!$A$3,'qx''ler'!$1:$1,0),FALSE)</f>
        <v>0</v>
      </c>
      <c r="C109" s="21">
        <f t="shared" si="14"/>
        <v>1</v>
      </c>
      <c r="D109" s="22">
        <f t="shared" si="11"/>
        <v>0</v>
      </c>
      <c r="E109" s="22">
        <f t="shared" si="15"/>
        <v>0</v>
      </c>
      <c r="F109" s="23">
        <f t="shared" si="12"/>
        <v>0</v>
      </c>
      <c r="G109" s="23">
        <f>SUM(F109:F$127)</f>
        <v>0</v>
      </c>
      <c r="H109" s="23">
        <f>SUM(G109:$G$127)</f>
        <v>0</v>
      </c>
      <c r="I109" s="23">
        <f t="shared" si="13"/>
        <v>0</v>
      </c>
      <c r="J109" s="23">
        <f>SUM(I109:I$127)</f>
        <v>0</v>
      </c>
      <c r="K109" s="23">
        <f>SUM(J109:J$127)</f>
        <v>0</v>
      </c>
      <c r="L109" s="24" t="e">
        <f t="shared" si="9"/>
        <v>#DIV/0!</v>
      </c>
    </row>
    <row r="110" spans="1:12" x14ac:dyDescent="0.25">
      <c r="A110" s="20">
        <f t="shared" si="10"/>
        <v>104</v>
      </c>
      <c r="B110" s="21">
        <f>VLOOKUP(A110,'qx''ler'!$1:$1048576,MATCH(komutasyon_tablo!$A$3,'qx''ler'!$1:$1,0),FALSE)</f>
        <v>0</v>
      </c>
      <c r="C110" s="21">
        <f t="shared" si="14"/>
        <v>1</v>
      </c>
      <c r="D110" s="22">
        <f t="shared" si="11"/>
        <v>0</v>
      </c>
      <c r="E110" s="22">
        <f t="shared" si="15"/>
        <v>0</v>
      </c>
      <c r="F110" s="23">
        <f t="shared" si="12"/>
        <v>0</v>
      </c>
      <c r="G110" s="23">
        <f>SUM(F110:F$127)</f>
        <v>0</v>
      </c>
      <c r="H110" s="23">
        <f>SUM(G110:$G$127)</f>
        <v>0</v>
      </c>
      <c r="I110" s="23">
        <f t="shared" si="13"/>
        <v>0</v>
      </c>
      <c r="J110" s="23">
        <f>SUM(I110:I$127)</f>
        <v>0</v>
      </c>
      <c r="K110" s="23">
        <f>SUM(J110:J$127)</f>
        <v>0</v>
      </c>
      <c r="L110" s="24" t="e">
        <f t="shared" si="9"/>
        <v>#DIV/0!</v>
      </c>
    </row>
    <row r="111" spans="1:12" x14ac:dyDescent="0.25">
      <c r="A111" s="20">
        <f t="shared" si="10"/>
        <v>105</v>
      </c>
      <c r="B111" s="21">
        <f>VLOOKUP(A111,'qx''ler'!$1:$1048576,MATCH(komutasyon_tablo!$A$3,'qx''ler'!$1:$1,0),FALSE)</f>
        <v>0</v>
      </c>
      <c r="C111" s="21">
        <f t="shared" si="14"/>
        <v>1</v>
      </c>
      <c r="D111" s="22">
        <f t="shared" si="11"/>
        <v>0</v>
      </c>
      <c r="E111" s="22">
        <f t="shared" si="15"/>
        <v>0</v>
      </c>
      <c r="F111" s="23">
        <f t="shared" si="12"/>
        <v>0</v>
      </c>
      <c r="G111" s="23">
        <f>SUM(F111:F$127)</f>
        <v>0</v>
      </c>
      <c r="H111" s="23">
        <f>SUM(G111:$G$127)</f>
        <v>0</v>
      </c>
      <c r="I111" s="23">
        <f t="shared" si="13"/>
        <v>0</v>
      </c>
      <c r="J111" s="23">
        <f>SUM(I111:I$127)</f>
        <v>0</v>
      </c>
      <c r="K111" s="23">
        <f>SUM(J111:J$127)</f>
        <v>0</v>
      </c>
      <c r="L111" s="24" t="e">
        <f t="shared" si="9"/>
        <v>#DIV/0!</v>
      </c>
    </row>
    <row r="112" spans="1:12" x14ac:dyDescent="0.25">
      <c r="A112" s="20">
        <f t="shared" si="10"/>
        <v>106</v>
      </c>
      <c r="B112" s="21">
        <f>VLOOKUP(A112,'qx''ler'!$1:$1048576,MATCH(komutasyon_tablo!$A$3,'qx''ler'!$1:$1,0),FALSE)</f>
        <v>0</v>
      </c>
      <c r="C112" s="21">
        <f t="shared" si="14"/>
        <v>1</v>
      </c>
      <c r="D112" s="22">
        <f t="shared" si="11"/>
        <v>0</v>
      </c>
      <c r="E112" s="22">
        <f t="shared" si="15"/>
        <v>0</v>
      </c>
      <c r="F112" s="23">
        <f t="shared" si="12"/>
        <v>0</v>
      </c>
      <c r="G112" s="23">
        <f>SUM(F112:F$127)</f>
        <v>0</v>
      </c>
      <c r="H112" s="23">
        <f>SUM(G112:$G$127)</f>
        <v>0</v>
      </c>
      <c r="I112" s="23">
        <f t="shared" si="13"/>
        <v>0</v>
      </c>
      <c r="J112" s="23">
        <f>SUM(I112:I$127)</f>
        <v>0</v>
      </c>
      <c r="K112" s="23">
        <f>SUM(J112:J$127)</f>
        <v>0</v>
      </c>
      <c r="L112" s="24" t="e">
        <f t="shared" si="9"/>
        <v>#DIV/0!</v>
      </c>
    </row>
    <row r="113" spans="1:12" x14ac:dyDescent="0.25">
      <c r="A113" s="20">
        <f t="shared" si="10"/>
        <v>107</v>
      </c>
      <c r="B113" s="21">
        <f>VLOOKUP(A113,'qx''ler'!$1:$1048576,MATCH(komutasyon_tablo!$A$3,'qx''ler'!$1:$1,0),FALSE)</f>
        <v>0</v>
      </c>
      <c r="C113" s="21">
        <f t="shared" si="14"/>
        <v>1</v>
      </c>
      <c r="D113" s="22">
        <f t="shared" si="11"/>
        <v>0</v>
      </c>
      <c r="E113" s="22">
        <f t="shared" si="15"/>
        <v>0</v>
      </c>
      <c r="F113" s="23">
        <f t="shared" si="12"/>
        <v>0</v>
      </c>
      <c r="G113" s="23">
        <f>SUM(F113:F$127)</f>
        <v>0</v>
      </c>
      <c r="H113" s="23">
        <f>SUM(G113:$G$127)</f>
        <v>0</v>
      </c>
      <c r="I113" s="23">
        <f t="shared" si="13"/>
        <v>0</v>
      </c>
      <c r="J113" s="23">
        <f>SUM(I113:I$127)</f>
        <v>0</v>
      </c>
      <c r="K113" s="23">
        <f>SUM(J113:J$127)</f>
        <v>0</v>
      </c>
      <c r="L113" s="24" t="e">
        <f t="shared" si="9"/>
        <v>#DIV/0!</v>
      </c>
    </row>
    <row r="114" spans="1:12" x14ac:dyDescent="0.25">
      <c r="A114" s="20">
        <f t="shared" si="10"/>
        <v>108</v>
      </c>
      <c r="B114" s="21">
        <f>VLOOKUP(A114,'qx''ler'!$1:$1048576,MATCH(komutasyon_tablo!$A$3,'qx''ler'!$1:$1,0),FALSE)</f>
        <v>0</v>
      </c>
      <c r="C114" s="21">
        <f t="shared" si="14"/>
        <v>1</v>
      </c>
      <c r="D114" s="22">
        <f t="shared" si="11"/>
        <v>0</v>
      </c>
      <c r="E114" s="22">
        <f t="shared" si="15"/>
        <v>0</v>
      </c>
      <c r="F114" s="23">
        <f t="shared" si="12"/>
        <v>0</v>
      </c>
      <c r="G114" s="23">
        <f>SUM(F114:F$127)</f>
        <v>0</v>
      </c>
      <c r="H114" s="23">
        <f>SUM(G114:$G$127)</f>
        <v>0</v>
      </c>
      <c r="I114" s="23">
        <f t="shared" si="13"/>
        <v>0</v>
      </c>
      <c r="J114" s="23">
        <f>SUM(I114:I$127)</f>
        <v>0</v>
      </c>
      <c r="K114" s="23">
        <f>SUM(J114:J$127)</f>
        <v>0</v>
      </c>
      <c r="L114" s="24" t="e">
        <f t="shared" si="9"/>
        <v>#DIV/0!</v>
      </c>
    </row>
    <row r="115" spans="1:12" x14ac:dyDescent="0.25">
      <c r="A115" s="20">
        <f t="shared" si="10"/>
        <v>109</v>
      </c>
      <c r="B115" s="21">
        <f>VLOOKUP(A115,'qx''ler'!$1:$1048576,MATCH(komutasyon_tablo!$A$3,'qx''ler'!$1:$1,0),FALSE)</f>
        <v>0</v>
      </c>
      <c r="C115" s="21">
        <f t="shared" si="14"/>
        <v>1</v>
      </c>
      <c r="D115" s="22">
        <f t="shared" si="11"/>
        <v>0</v>
      </c>
      <c r="E115" s="22">
        <f t="shared" si="15"/>
        <v>0</v>
      </c>
      <c r="F115" s="23">
        <f t="shared" si="12"/>
        <v>0</v>
      </c>
      <c r="G115" s="23">
        <f>SUM(F115:F$127)</f>
        <v>0</v>
      </c>
      <c r="H115" s="23">
        <f>SUM(G115:$G$127)</f>
        <v>0</v>
      </c>
      <c r="I115" s="23">
        <f t="shared" si="13"/>
        <v>0</v>
      </c>
      <c r="J115" s="23">
        <f>SUM(I115:I$127)</f>
        <v>0</v>
      </c>
      <c r="K115" s="23">
        <f>SUM(J115:J$127)</f>
        <v>0</v>
      </c>
      <c r="L115" s="24" t="e">
        <f t="shared" si="9"/>
        <v>#DIV/0!</v>
      </c>
    </row>
    <row r="116" spans="1:12" x14ac:dyDescent="0.25">
      <c r="A116" s="20">
        <f t="shared" si="10"/>
        <v>110</v>
      </c>
      <c r="B116" s="21">
        <f>VLOOKUP(A116,'qx''ler'!$1:$1048576,MATCH(komutasyon_tablo!$A$3,'qx''ler'!$1:$1,0),FALSE)</f>
        <v>0</v>
      </c>
      <c r="C116" s="21">
        <f t="shared" si="14"/>
        <v>1</v>
      </c>
      <c r="D116" s="22">
        <f t="shared" si="11"/>
        <v>0</v>
      </c>
      <c r="E116" s="22">
        <f t="shared" si="15"/>
        <v>0</v>
      </c>
      <c r="F116" s="23">
        <f t="shared" si="12"/>
        <v>0</v>
      </c>
      <c r="G116" s="23">
        <f>SUM(F116:F$127)</f>
        <v>0</v>
      </c>
      <c r="H116" s="23">
        <f>SUM(G116:$G$127)</f>
        <v>0</v>
      </c>
      <c r="I116" s="23">
        <f t="shared" si="13"/>
        <v>0</v>
      </c>
      <c r="J116" s="23">
        <f>SUM(I116:I$127)</f>
        <v>0</v>
      </c>
      <c r="K116" s="23">
        <f>SUM(J116:J$127)</f>
        <v>0</v>
      </c>
      <c r="L116" s="24" t="e">
        <f t="shared" si="9"/>
        <v>#DIV/0!</v>
      </c>
    </row>
    <row r="117" spans="1:12" x14ac:dyDescent="0.25">
      <c r="A117" s="20">
        <f t="shared" si="10"/>
        <v>111</v>
      </c>
      <c r="B117" s="21">
        <f>VLOOKUP(A117,'qx''ler'!$1:$1048576,MATCH(komutasyon_tablo!$A$3,'qx''ler'!$1:$1,0),FALSE)</f>
        <v>0</v>
      </c>
      <c r="C117" s="21">
        <f t="shared" si="14"/>
        <v>1</v>
      </c>
      <c r="D117" s="22">
        <f t="shared" si="11"/>
        <v>0</v>
      </c>
      <c r="E117" s="22">
        <f t="shared" si="15"/>
        <v>0</v>
      </c>
      <c r="F117" s="23">
        <f t="shared" si="12"/>
        <v>0</v>
      </c>
      <c r="G117" s="23">
        <f>SUM(F117:F$127)</f>
        <v>0</v>
      </c>
      <c r="H117" s="23">
        <f>SUM(G117:$G$127)</f>
        <v>0</v>
      </c>
      <c r="I117" s="23">
        <f t="shared" si="13"/>
        <v>0</v>
      </c>
      <c r="J117" s="23">
        <f>SUM(I117:I$127)</f>
        <v>0</v>
      </c>
      <c r="K117" s="23">
        <f>SUM(J117:J$127)</f>
        <v>0</v>
      </c>
      <c r="L117" s="24" t="e">
        <f t="shared" si="9"/>
        <v>#DIV/0!</v>
      </c>
    </row>
    <row r="118" spans="1:12" x14ac:dyDescent="0.25">
      <c r="A118" s="20">
        <f t="shared" si="10"/>
        <v>112</v>
      </c>
      <c r="B118" s="21">
        <f>VLOOKUP(A118,'qx''ler'!$1:$1048576,MATCH(komutasyon_tablo!$A$3,'qx''ler'!$1:$1,0),FALSE)</f>
        <v>0</v>
      </c>
      <c r="C118" s="21">
        <f t="shared" si="14"/>
        <v>1</v>
      </c>
      <c r="D118" s="22">
        <f t="shared" si="11"/>
        <v>0</v>
      </c>
      <c r="E118" s="22">
        <f t="shared" si="15"/>
        <v>0</v>
      </c>
      <c r="F118" s="23">
        <f t="shared" si="12"/>
        <v>0</v>
      </c>
      <c r="G118" s="23">
        <f>SUM(F118:F$127)</f>
        <v>0</v>
      </c>
      <c r="H118" s="23">
        <f>SUM(G118:$G$127)</f>
        <v>0</v>
      </c>
      <c r="I118" s="23">
        <f t="shared" si="13"/>
        <v>0</v>
      </c>
      <c r="J118" s="23">
        <f>SUM(I118:I$127)</f>
        <v>0</v>
      </c>
      <c r="K118" s="23">
        <f>SUM(J118:J$127)</f>
        <v>0</v>
      </c>
      <c r="L118" s="24" t="e">
        <f t="shared" si="9"/>
        <v>#DIV/0!</v>
      </c>
    </row>
    <row r="119" spans="1:12" x14ac:dyDescent="0.25">
      <c r="A119" s="20">
        <f t="shared" si="10"/>
        <v>113</v>
      </c>
      <c r="B119" s="21">
        <f>VLOOKUP(A119,'qx''ler'!$1:$1048576,MATCH(komutasyon_tablo!$A$3,'qx''ler'!$1:$1,0),FALSE)</f>
        <v>0</v>
      </c>
      <c r="C119" s="21">
        <f t="shared" si="14"/>
        <v>1</v>
      </c>
      <c r="D119" s="22">
        <f t="shared" si="11"/>
        <v>0</v>
      </c>
      <c r="E119" s="22">
        <f t="shared" si="15"/>
        <v>0</v>
      </c>
      <c r="F119" s="23">
        <f t="shared" si="12"/>
        <v>0</v>
      </c>
      <c r="G119" s="23">
        <f>SUM(F119:F$127)</f>
        <v>0</v>
      </c>
      <c r="H119" s="23">
        <f>SUM(G119:$G$127)</f>
        <v>0</v>
      </c>
      <c r="I119" s="23">
        <f t="shared" si="13"/>
        <v>0</v>
      </c>
      <c r="J119" s="23">
        <f>SUM(I119:I$127)</f>
        <v>0</v>
      </c>
      <c r="K119" s="23">
        <f>SUM(J119:J$127)</f>
        <v>0</v>
      </c>
      <c r="L119" s="24" t="e">
        <f t="shared" si="9"/>
        <v>#DIV/0!</v>
      </c>
    </row>
    <row r="120" spans="1:12" x14ac:dyDescent="0.25">
      <c r="A120" s="20">
        <f t="shared" si="10"/>
        <v>114</v>
      </c>
      <c r="B120" s="21">
        <f>VLOOKUP(A120,'qx''ler'!$1:$1048576,MATCH(komutasyon_tablo!$A$3,'qx''ler'!$1:$1,0),FALSE)</f>
        <v>0</v>
      </c>
      <c r="C120" s="21">
        <f t="shared" si="14"/>
        <v>1</v>
      </c>
      <c r="D120" s="22">
        <f t="shared" si="11"/>
        <v>0</v>
      </c>
      <c r="E120" s="22">
        <f t="shared" si="15"/>
        <v>0</v>
      </c>
      <c r="F120" s="23">
        <f t="shared" si="12"/>
        <v>0</v>
      </c>
      <c r="G120" s="23">
        <f>SUM(F120:F$127)</f>
        <v>0</v>
      </c>
      <c r="H120" s="23">
        <f>SUM(G120:$G$127)</f>
        <v>0</v>
      </c>
      <c r="I120" s="23">
        <f t="shared" si="13"/>
        <v>0</v>
      </c>
      <c r="J120" s="23">
        <f>SUM(I120:I$127)</f>
        <v>0</v>
      </c>
      <c r="K120" s="23">
        <f>SUM(J120:J$127)</f>
        <v>0</v>
      </c>
      <c r="L120" s="24" t="e">
        <f t="shared" si="9"/>
        <v>#DIV/0!</v>
      </c>
    </row>
    <row r="121" spans="1:12" x14ac:dyDescent="0.25">
      <c r="A121" s="20">
        <f t="shared" si="10"/>
        <v>115</v>
      </c>
      <c r="B121" s="21">
        <f>VLOOKUP(A121,'qx''ler'!$1:$1048576,MATCH(komutasyon_tablo!$A$3,'qx''ler'!$1:$1,0),FALSE)</f>
        <v>0</v>
      </c>
      <c r="C121" s="21">
        <f t="shared" si="14"/>
        <v>1</v>
      </c>
      <c r="D121" s="22">
        <f t="shared" si="11"/>
        <v>0</v>
      </c>
      <c r="E121" s="22">
        <f t="shared" si="15"/>
        <v>0</v>
      </c>
      <c r="F121" s="23">
        <f t="shared" si="12"/>
        <v>0</v>
      </c>
      <c r="G121" s="23">
        <f>SUM(F121:F$127)</f>
        <v>0</v>
      </c>
      <c r="H121" s="23">
        <f>SUM(G121:$G$127)</f>
        <v>0</v>
      </c>
      <c r="I121" s="23">
        <f t="shared" si="13"/>
        <v>0</v>
      </c>
      <c r="J121" s="23">
        <f>SUM(I121:I$127)</f>
        <v>0</v>
      </c>
      <c r="K121" s="23">
        <f>SUM(J121:J$127)</f>
        <v>0</v>
      </c>
      <c r="L121" s="24" t="e">
        <f t="shared" si="9"/>
        <v>#DIV/0!</v>
      </c>
    </row>
    <row r="122" spans="1:12" x14ac:dyDescent="0.25">
      <c r="A122" s="20">
        <f t="shared" si="10"/>
        <v>116</v>
      </c>
      <c r="B122" s="21">
        <f>VLOOKUP(A122,'qx''ler'!$1:$1048576,MATCH(komutasyon_tablo!$A$3,'qx''ler'!$1:$1,0),FALSE)</f>
        <v>0</v>
      </c>
      <c r="C122" s="21">
        <f t="shared" si="14"/>
        <v>1</v>
      </c>
      <c r="D122" s="22">
        <f t="shared" si="11"/>
        <v>0</v>
      </c>
      <c r="E122" s="22">
        <f t="shared" si="15"/>
        <v>0</v>
      </c>
      <c r="F122" s="23">
        <f t="shared" si="12"/>
        <v>0</v>
      </c>
      <c r="G122" s="23">
        <f>SUM(F122:F$127)</f>
        <v>0</v>
      </c>
      <c r="H122" s="23">
        <f>SUM(G122:$G$127)</f>
        <v>0</v>
      </c>
      <c r="I122" s="23">
        <f t="shared" si="13"/>
        <v>0</v>
      </c>
      <c r="J122" s="23">
        <f>SUM(I122:I$127)</f>
        <v>0</v>
      </c>
      <c r="K122" s="23">
        <f>SUM(J122:J$127)</f>
        <v>0</v>
      </c>
      <c r="L122" s="24" t="e">
        <f t="shared" si="9"/>
        <v>#DIV/0!</v>
      </c>
    </row>
    <row r="123" spans="1:12" x14ac:dyDescent="0.25">
      <c r="A123" s="20">
        <f t="shared" si="10"/>
        <v>117</v>
      </c>
      <c r="B123" s="21">
        <f>VLOOKUP(A123,'qx''ler'!$1:$1048576,MATCH(komutasyon_tablo!$A$3,'qx''ler'!$1:$1,0),FALSE)</f>
        <v>0</v>
      </c>
      <c r="C123" s="21">
        <f>1-B123</f>
        <v>1</v>
      </c>
      <c r="D123" s="22">
        <f t="shared" si="11"/>
        <v>0</v>
      </c>
      <c r="E123" s="22">
        <f>D123*B123</f>
        <v>0</v>
      </c>
      <c r="F123" s="23">
        <f t="shared" si="12"/>
        <v>0</v>
      </c>
      <c r="G123" s="23">
        <f>SUM(F123:F$127)</f>
        <v>0</v>
      </c>
      <c r="H123" s="23">
        <f>SUM(G123:$G$127)</f>
        <v>0</v>
      </c>
      <c r="I123" s="23">
        <f t="shared" si="13"/>
        <v>0</v>
      </c>
      <c r="J123" s="23">
        <f>SUM(I123:I$127)</f>
        <v>0</v>
      </c>
      <c r="K123" s="23">
        <f>SUM(J123:J$127)</f>
        <v>0</v>
      </c>
      <c r="L123" s="24" t="e">
        <f t="shared" si="9"/>
        <v>#DIV/0!</v>
      </c>
    </row>
    <row r="124" spans="1:12" x14ac:dyDescent="0.25">
      <c r="A124" s="20">
        <f t="shared" si="10"/>
        <v>118</v>
      </c>
      <c r="B124" s="21">
        <f>VLOOKUP(A124,'qx''ler'!$1:$1048576,MATCH(komutasyon_tablo!$A$3,'qx''ler'!$1:$1,0),FALSE)</f>
        <v>0</v>
      </c>
      <c r="C124" s="21">
        <f t="shared" si="14"/>
        <v>1</v>
      </c>
      <c r="D124" s="22">
        <f t="shared" si="11"/>
        <v>0</v>
      </c>
      <c r="E124" s="22">
        <f t="shared" ref="E124:E127" si="16">D124*B124</f>
        <v>0</v>
      </c>
      <c r="F124" s="23">
        <f t="shared" si="12"/>
        <v>0</v>
      </c>
      <c r="G124" s="23">
        <f>SUM(F124:F$127)</f>
        <v>0</v>
      </c>
      <c r="H124" s="23">
        <f>SUM(G124:$G$127)</f>
        <v>0</v>
      </c>
      <c r="I124" s="23">
        <f t="shared" si="13"/>
        <v>0</v>
      </c>
      <c r="J124" s="23">
        <f>SUM(I124:I$127)</f>
        <v>0</v>
      </c>
      <c r="K124" s="23">
        <f>SUM(J124:J$127)</f>
        <v>0</v>
      </c>
      <c r="L124" s="24" t="e">
        <f t="shared" si="9"/>
        <v>#DIV/0!</v>
      </c>
    </row>
    <row r="125" spans="1:12" x14ac:dyDescent="0.25">
      <c r="A125" s="20">
        <f t="shared" si="10"/>
        <v>119</v>
      </c>
      <c r="B125" s="21">
        <f>VLOOKUP(A125,'qx''ler'!$1:$1048576,MATCH(komutasyon_tablo!$A$3,'qx''ler'!$1:$1,0),FALSE)</f>
        <v>0</v>
      </c>
      <c r="C125" s="21">
        <f t="shared" si="14"/>
        <v>1</v>
      </c>
      <c r="D125" s="22">
        <f t="shared" si="11"/>
        <v>0</v>
      </c>
      <c r="E125" s="22">
        <f t="shared" si="16"/>
        <v>0</v>
      </c>
      <c r="F125" s="23">
        <f t="shared" si="12"/>
        <v>0</v>
      </c>
      <c r="G125" s="23">
        <f>SUM(F125:F$127)</f>
        <v>0</v>
      </c>
      <c r="H125" s="23">
        <f>SUM(G125:$G$127)</f>
        <v>0</v>
      </c>
      <c r="I125" s="23">
        <f t="shared" si="13"/>
        <v>0</v>
      </c>
      <c r="J125" s="23">
        <f>SUM(I125:I$127)</f>
        <v>0</v>
      </c>
      <c r="K125" s="23">
        <f>SUM(J125:J$127)</f>
        <v>0</v>
      </c>
      <c r="L125" s="24" t="e">
        <f t="shared" si="9"/>
        <v>#DIV/0!</v>
      </c>
    </row>
    <row r="126" spans="1:12" x14ac:dyDescent="0.25">
      <c r="A126" s="20">
        <f t="shared" si="10"/>
        <v>120</v>
      </c>
      <c r="B126" s="21">
        <f>VLOOKUP(A126,'qx''ler'!$1:$1048576,MATCH(komutasyon_tablo!$A$3,'qx''ler'!$1:$1,0),FALSE)</f>
        <v>0</v>
      </c>
      <c r="C126" s="21">
        <f t="shared" si="14"/>
        <v>1</v>
      </c>
      <c r="D126" s="22">
        <f t="shared" si="11"/>
        <v>0</v>
      </c>
      <c r="E126" s="22">
        <f t="shared" si="16"/>
        <v>0</v>
      </c>
      <c r="F126" s="23">
        <f t="shared" si="12"/>
        <v>0</v>
      </c>
      <c r="G126" s="23">
        <f>SUM(F126:F$127)</f>
        <v>0</v>
      </c>
      <c r="H126" s="23">
        <f>SUM(G126:$G$127)</f>
        <v>0</v>
      </c>
      <c r="I126" s="23">
        <f t="shared" si="13"/>
        <v>0</v>
      </c>
      <c r="J126" s="23">
        <f>SUM(I126:I$127)</f>
        <v>0</v>
      </c>
      <c r="K126" s="23">
        <f>SUM(J126:J$127)</f>
        <v>0</v>
      </c>
      <c r="L126" s="24" t="e">
        <f t="shared" si="9"/>
        <v>#DIV/0!</v>
      </c>
    </row>
    <row r="127" spans="1:12" x14ac:dyDescent="0.25">
      <c r="A127" s="20">
        <f t="shared" si="10"/>
        <v>121</v>
      </c>
      <c r="B127" s="21">
        <f>VLOOKUP(A127,'qx''ler'!$1:$1048576,MATCH(komutasyon_tablo!$A$3,'qx''ler'!$1:$1,0),FALSE)</f>
        <v>0</v>
      </c>
      <c r="C127" s="21">
        <f t="shared" si="14"/>
        <v>1</v>
      </c>
      <c r="D127" s="22">
        <f t="shared" si="11"/>
        <v>0</v>
      </c>
      <c r="E127" s="22">
        <f t="shared" si="16"/>
        <v>0</v>
      </c>
      <c r="F127" s="23">
        <f t="shared" si="12"/>
        <v>0</v>
      </c>
      <c r="G127" s="23">
        <f>SUM(F127:F$127)</f>
        <v>0</v>
      </c>
      <c r="H127" s="23">
        <f>SUM(G127:$G$127)</f>
        <v>0</v>
      </c>
      <c r="I127" s="23">
        <f t="shared" si="13"/>
        <v>0</v>
      </c>
      <c r="J127" s="23">
        <f>SUM(I127:I$127)</f>
        <v>0</v>
      </c>
      <c r="K127" s="23">
        <f>SUM(J127:J$127)</f>
        <v>0</v>
      </c>
      <c r="L127" s="24" t="e">
        <f t="shared" si="9"/>
        <v>#DIV/0!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3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Props1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097FC03-1899-49CA-9C34-D74093FAFE09}">
  <ds:schemaRefs>
    <ds:schemaRef ds:uri="http://purl.org/dc/elements/1.1/"/>
    <ds:schemaRef ds:uri="http://schemas.microsoft.com/sharepoint/v3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f29dd610-4296-4b97-95da-bd9fb6eed76b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2018-10-17T08:19:28Z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52912c5c-a9ba-4e45-9677-9aa5da2eef19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