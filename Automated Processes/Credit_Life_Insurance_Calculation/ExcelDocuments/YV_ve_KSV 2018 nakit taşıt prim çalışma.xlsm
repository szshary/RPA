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Sayfa1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tarife_parametreleri!$A$2:$S$70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6" i="1" l="1"/>
  <c r="I85" i="1"/>
  <c r="I84" i="1"/>
  <c r="I83" i="1"/>
  <c r="I82" i="1"/>
  <c r="I81" i="1"/>
  <c r="I80" i="1"/>
  <c r="I79" i="1"/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<sst xmlns="http://schemas.openxmlformats.org/spreadsheetml/2006/main" count="989" uniqueCount="134">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</sst>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₺_-;\-* #,##0.00\ _₺_-;_-* &quot;-&quot;??\ _₺_-;_-@_-"/>
    <numFmt numFmtId="164" formatCode="0.00000"/>
    <numFmt numFmtId="165" formatCode="0.000000_)"/>
    <numFmt numFmtId="166" formatCode="#,##0.0000"/>
    <numFmt numFmtId="167" formatCode="#,##0.0000000"/>
    <numFmt numFmtId="168" formatCode="0.0000000"/>
    <numFmt numFmtId="169" formatCode="_-* #,##0.0000\ _₺_-;\-* #,##0.0000\ _₺_-;_-* &quot;-&quot;??\ _₺_-;_-@_-"/>
  </numFmts>
  <fonts count="2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  <font>
      <sz val="10"/>
      <color rgb="FF002060"/>
      <name val="Verdana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4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7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8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8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43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69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  <xf numFmtId="0" fontId="21" fillId="0" borderId="0" xfId="0" applyFont="1" applyAlignment="1">
      <alignment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7" t="s">
        <v>85</v>
      </c>
      <c r="B1" s="58"/>
      <c r="D1" s="57" t="s">
        <v>81</v>
      </c>
      <c r="E1" s="58"/>
    </row>
    <row r="2" spans="1:13" ht="15.75" thickBot="1" x14ac:dyDescent="0.3">
      <c r="A2" s="32" t="s">
        <v>12</v>
      </c>
      <c r="B2" s="43">
        <v>2147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65.06</v>
      </c>
      <c r="F3" s="11">
        <f>E3/12</f>
        <v>5.4216666666666669</v>
      </c>
    </row>
    <row r="4" spans="1:13" x14ac:dyDescent="0.25">
      <c r="A4" s="32" t="s">
        <v>34</v>
      </c>
      <c r="B4" s="44">
        <v>43276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210.55</v>
      </c>
      <c r="F4" s="11">
        <f>E4/12</f>
        <v>17.545833333333334</v>
      </c>
      <c r="L4" s="47"/>
      <c r="M4" s="48"/>
    </row>
    <row r="5" spans="1:13" x14ac:dyDescent="0.25">
      <c r="A5" s="32" t="s">
        <v>35</v>
      </c>
      <c r="B5" s="44">
        <v>16650</v>
      </c>
      <c r="C5" s="6"/>
      <c r="D5" s="32" t="s">
        <v>107</v>
      </c>
      <c r="E5" s="11">
        <f>ROUND((E3/12)/(1-umo-gpo),2)</f>
        <v>17.55</v>
      </c>
      <c r="F5" s="11">
        <f t="shared" ref="F5:F8" si="0">E5/12</f>
        <v>1.4625000000000001</v>
      </c>
      <c r="H5" s="6"/>
    </row>
    <row r="6" spans="1:13" x14ac:dyDescent="0.25">
      <c r="A6" s="32" t="s">
        <v>28</v>
      </c>
      <c r="B6" s="43">
        <v>10</v>
      </c>
      <c r="C6" s="6"/>
      <c r="D6" s="32" t="s">
        <v>38</v>
      </c>
      <c r="E6" s="11">
        <f>E4*umo</f>
        <v>52.637500000000003</v>
      </c>
      <c r="F6" s="11">
        <f t="shared" si="0"/>
        <v>4.3864583333333336</v>
      </c>
      <c r="H6" s="6"/>
    </row>
    <row r="7" spans="1:13" x14ac:dyDescent="0.25">
      <c r="A7" s="32" t="s">
        <v>29</v>
      </c>
      <c r="B7" s="45">
        <v>20000</v>
      </c>
      <c r="C7" s="6"/>
      <c r="D7" s="32" t="s">
        <v>39</v>
      </c>
      <c r="E7" s="11">
        <f>E4*gpo</f>
        <v>92.852550000000008</v>
      </c>
      <c r="F7" s="11">
        <f t="shared" si="0"/>
        <v>7.7377125000000007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552</v>
      </c>
      <c r="F8" s="11">
        <f t="shared" si="0"/>
        <v>46</v>
      </c>
      <c r="G8" s="9"/>
      <c r="H8" s="6"/>
    </row>
    <row r="9" spans="1:13" x14ac:dyDescent="0.25">
      <c r="A9" s="32" t="s">
        <v>33</v>
      </c>
      <c r="B9" s="34">
        <f>EDATE(B4,B6)</f>
        <v>43580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304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797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7" t="s">
        <v>80</v>
      </c>
      <c r="B17" s="58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0.441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625</v>
      </c>
    </row>
    <row r="28" spans="1:8" x14ac:dyDescent="0.25">
      <c r="A28" s="32" t="s">
        <v>87</v>
      </c>
      <c r="B28" s="33">
        <f>MONTH(doğum_tarihi)*100+DAY(doğum_tarihi)</f>
        <v>801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C2" sqref="C2:F5"/>
    </sheetView>
  </sheetViews>
  <sheetFormatPr defaultRowHeight="15" x14ac:dyDescent="0.25"/>
  <sheetData>
    <row r="1" spans="1:6" x14ac:dyDescent="0.25">
      <c r="A1" t="s">
        <v>90</v>
      </c>
      <c r="B1" t="s">
        <v>91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 s="59">
        <v>1191</v>
      </c>
      <c r="B2">
        <v>10038439</v>
      </c>
    </row>
    <row r="3" spans="1:6" x14ac:dyDescent="0.25">
      <c r="A3" s="59">
        <v>1850</v>
      </c>
      <c r="B3">
        <v>10038238</v>
      </c>
    </row>
    <row r="4" spans="1:6" x14ac:dyDescent="0.25">
      <c r="A4" s="59">
        <v>1191</v>
      </c>
      <c r="B4">
        <v>10038439</v>
      </c>
    </row>
    <row r="5" spans="1:6" x14ac:dyDescent="0.25">
      <c r="A5" s="59">
        <v>1850</v>
      </c>
      <c r="B5">
        <v>10038238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3" activePane="bottomLeft" state="frozen"/>
      <selection pane="bottomLeft" activeCell="A86" sqref="A86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f>ROUND(0.75-((0.75-I19)/(1+0.1)),3)</f>
        <v>0.59199999999999997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f t="shared" ref="I28:I34" si="0">ROUND(0.75-((0.75-I20)/(1+0.1)),3)</f>
        <v>0.503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f t="shared" si="0"/>
        <v>0.38400000000000001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f t="shared" si="0"/>
        <v>0.20499999999999999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f t="shared" si="0"/>
        <v>0.59199999999999997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f t="shared" si="0"/>
        <v>0.503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f t="shared" si="0"/>
        <v>0.38400000000000001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f t="shared" si="0"/>
        <v>0.20499999999999999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f>ROUND(0.75-((0.75-I19)/(1+0.25)),3)</f>
        <v>0.61099999999999999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f t="shared" ref="I36:I42" si="1">ROUND(0.75-((0.75-I20)/(1+0.25)),3)</f>
        <v>0.53200000000000003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f t="shared" si="1"/>
        <v>0.42799999999999999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f t="shared" si="1"/>
        <v>0.27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f t="shared" si="1"/>
        <v>0.61099999999999999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f t="shared" si="1"/>
        <v>0.53200000000000003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f t="shared" si="1"/>
        <v>0.42799999999999999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f t="shared" si="1"/>
        <v>0.27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0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0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0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2">
        <v>3.5000000000000003E-2</v>
      </c>
      <c r="H71" s="52">
        <v>0.25</v>
      </c>
      <c r="I71" s="52">
        <v>0.55200000000000005</v>
      </c>
      <c r="J71" s="50" t="s">
        <v>2</v>
      </c>
      <c r="K71" s="53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2">
        <v>0.04</v>
      </c>
      <c r="H72" s="52">
        <v>0.25</v>
      </c>
      <c r="I72" s="52">
        <v>0.441</v>
      </c>
      <c r="J72" s="50" t="s">
        <v>4</v>
      </c>
      <c r="K72" s="53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2">
        <v>0.04</v>
      </c>
      <c r="H73" s="52">
        <v>0.25</v>
      </c>
      <c r="I73" s="52">
        <v>0.29199999999999998</v>
      </c>
      <c r="J73" s="50" t="s">
        <v>4</v>
      </c>
      <c r="K73" s="53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2">
        <v>3.5000000000000003E-2</v>
      </c>
      <c r="H74" s="52">
        <v>0.25</v>
      </c>
      <c r="I74" s="52">
        <v>6.8000000000000005E-2</v>
      </c>
      <c r="J74" s="50" t="s">
        <v>2</v>
      </c>
      <c r="K74" s="53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2">
        <v>3.5000000000000003E-2</v>
      </c>
      <c r="H75" s="52">
        <v>0.25</v>
      </c>
      <c r="I75" s="52">
        <v>0.55200000000000005</v>
      </c>
      <c r="J75" s="50" t="s">
        <v>2</v>
      </c>
      <c r="K75" s="53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2">
        <v>0.04</v>
      </c>
      <c r="H76" s="52">
        <v>0.25</v>
      </c>
      <c r="I76" s="52">
        <v>0.441</v>
      </c>
      <c r="J76" s="50" t="s">
        <v>4</v>
      </c>
      <c r="K76" s="53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2">
        <v>0.04</v>
      </c>
      <c r="H77" s="52">
        <v>0.25</v>
      </c>
      <c r="I77" s="52">
        <v>0.29199999999999998</v>
      </c>
      <c r="J77" s="50" t="s">
        <v>4</v>
      </c>
      <c r="K77" s="53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2">
        <v>3.5000000000000003E-2</v>
      </c>
      <c r="H78" s="52">
        <v>0.25</v>
      </c>
      <c r="I78" s="52">
        <v>6.8000000000000005E-2</v>
      </c>
      <c r="J78" s="50" t="s">
        <v>2</v>
      </c>
      <c r="K78" s="53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2">
        <v>3.5000000000000003E-2</v>
      </c>
      <c r="H79" s="52">
        <v>0.25</v>
      </c>
      <c r="I79" s="52">
        <f>ROUND(0.75-((0.75-I71)/(1+0.1)),3)</f>
        <v>0.56999999999999995</v>
      </c>
      <c r="J79" s="50" t="s">
        <v>2</v>
      </c>
      <c r="K79" s="53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2">
        <v>0.04</v>
      </c>
      <c r="H80" s="52">
        <v>0.25</v>
      </c>
      <c r="I80" s="52">
        <f t="shared" ref="I80:I86" si="2">ROUND(0.75-((0.75-I72)/(1+0.1)),3)</f>
        <v>0.46899999999999997</v>
      </c>
      <c r="J80" s="50" t="s">
        <v>4</v>
      </c>
      <c r="K80" s="53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2">
        <v>0.04</v>
      </c>
      <c r="H81" s="52">
        <v>0.25</v>
      </c>
      <c r="I81" s="52">
        <f t="shared" si="2"/>
        <v>0.33400000000000002</v>
      </c>
      <c r="J81" s="50" t="s">
        <v>4</v>
      </c>
      <c r="K81" s="53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2">
        <v>3.5000000000000003E-2</v>
      </c>
      <c r="H82" s="52">
        <v>0.25</v>
      </c>
      <c r="I82" s="52">
        <f t="shared" si="2"/>
        <v>0.13</v>
      </c>
      <c r="J82" s="50" t="s">
        <v>2</v>
      </c>
      <c r="K82" s="53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2">
        <v>3.5000000000000003E-2</v>
      </c>
      <c r="H83" s="52">
        <v>0.25</v>
      </c>
      <c r="I83" s="52">
        <f t="shared" si="2"/>
        <v>0.56999999999999995</v>
      </c>
      <c r="J83" s="50" t="s">
        <v>2</v>
      </c>
      <c r="K83" s="53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2">
        <v>0.04</v>
      </c>
      <c r="H84" s="52">
        <v>0.25</v>
      </c>
      <c r="I84" s="52">
        <f t="shared" si="2"/>
        <v>0.46899999999999997</v>
      </c>
      <c r="J84" s="50" t="s">
        <v>4</v>
      </c>
      <c r="K84" s="53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2">
        <v>0.04</v>
      </c>
      <c r="H85" s="52">
        <v>0.25</v>
      </c>
      <c r="I85" s="52">
        <f t="shared" si="2"/>
        <v>0.33400000000000002</v>
      </c>
      <c r="J85" s="50" t="s">
        <v>4</v>
      </c>
      <c r="K85" s="53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2">
        <v>3.5000000000000003E-2</v>
      </c>
      <c r="H86" s="52">
        <v>0.25</v>
      </c>
      <c r="I86" s="52">
        <f t="shared" si="2"/>
        <v>0.13</v>
      </c>
      <c r="J86" s="50" t="s">
        <v>2</v>
      </c>
      <c r="K86" s="53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autoFilter ref="A2:S70"/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2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097FC03-1899-49CA-9C34-D74093FAFE09}">
  <ds:schemaRefs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f29dd610-4296-4b97-95da-bd9fb6eed76b"/>
    <ds:schemaRef ds:uri="http://purl.org/dc/terms/"/>
    <ds:schemaRef ds:uri="http://schemas.microsoft.com/office/infopath/2007/PartnerControls"/>
    <ds:schemaRef ds:uri="http://schemas.microsoft.com/sharepoint/v3"/>
    <ds:schemaRef ds:uri="http://schemas.microsoft.com/office/2006/metadata/properties"/>
  </ds:schemaRefs>
</ds:datastoreItem>
</file>

<file path=customXml/itemProps5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Sayfa1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2018-10-10T17:27:01Z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