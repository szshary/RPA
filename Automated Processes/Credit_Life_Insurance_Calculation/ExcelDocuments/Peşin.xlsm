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53222"/>
  <mc:AlternateContent xmlns:mc="http://schemas.openxmlformats.org/markup-compatibility/2006">
    <mc:Choice Requires="x15">
      <x15ac:absPath xmlns:x15ac="http://schemas.microsoft.com/office/spreadsheetml/2010/11/ac" url="\\BIM2456\Users\BIM2456\Documents\Visual Studio 2017\Projects\AHE RPA\Automated Processes\Credit_Life_Insurance_Calculation\ExcelDocuments\"/>
    </mc:Choice>
  </mc:AlternateContent>
  <bookViews>
    <workbookView xWindow="0" yWindow="0" windowWidth="28800" windowHeight="12465" activeTab="1"/>
  </bookViews>
  <sheets>
    <sheet name="Hesap" sheetId="3" r:id="rId1"/>
    <sheet name="Otomasyon" sheetId="10" r:id="rId2"/>
    <sheet name="uyarilar" sheetId="8" r:id="rId3"/>
    <sheet name="sonuc" sheetId="9" r:id="rId4"/>
    <sheet name="veri" sheetId="7" r:id="rId5"/>
    <sheet name="tarife_parametreleri" sheetId="1" r:id="rId6"/>
    <sheet name="komutasyon_tablo" sheetId="5" r:id="rId7"/>
    <sheet name="qx'ler" sheetId="6" r:id="rId8"/>
  </sheets>
  <definedNames>
    <definedName name="_xlnm._FilterDatabase" localSheetId="3" hidden="1">sonuc!$A$2:$M$215</definedName>
    <definedName name="_xlnm._FilterDatabase" localSheetId="5" hidden="1">tarife_parametreleri!$A$2:$S$2</definedName>
    <definedName name="_xlnm._FilterDatabase" localSheetId="4" hidden="1">veri!$A$1:$K$8</definedName>
    <definedName name="doğum_tarihi">Hesap!$B$5</definedName>
    <definedName name="gpo">Hesap!$B$25</definedName>
    <definedName name="iptal_tarihi">Hesap!$B$8</definedName>
    <definedName name="mortalite_tablosu">Hesap!$B$21</definedName>
    <definedName name="odeme_turu">Hesap!$B$3</definedName>
    <definedName name="odenen_komisyon">Hesap!#REF!</definedName>
    <definedName name="police_baslangic_tarihi">Hesap!$B$4</definedName>
    <definedName name="police_bitis_tarihi">Hesap!$B$9</definedName>
    <definedName name="sure">Hesap!$B$6</definedName>
    <definedName name="tablo_komutasyon">komutasyon_tablo!$A$5:$L$127</definedName>
    <definedName name="tarife_no">Hesap!$B$2</definedName>
    <definedName name="tarife_parametreleri">tarife_parametreleri!$1:$1048576</definedName>
    <definedName name="tfo">Hesap!$B$20</definedName>
    <definedName name="umo">Hesap!$B$24</definedName>
    <definedName name="vefat_teminat">Hesap!$B$7</definedName>
    <definedName name="yas">Hesap!$B$23</definedName>
    <definedName name="yas_kurali">Hesap!#REF!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42" i="1" l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B28" i="3" l="1"/>
  <c r="B27" i="3"/>
  <c r="O49" i="7" l="1"/>
  <c r="O47" i="7"/>
  <c r="O45" i="7"/>
  <c r="O39" i="7"/>
  <c r="O31" i="7"/>
  <c r="O27" i="7"/>
  <c r="O21" i="7"/>
  <c r="O17" i="7"/>
  <c r="O15" i="7"/>
  <c r="O11" i="7"/>
  <c r="O9" i="7"/>
  <c r="O7" i="7"/>
  <c r="O5" i="7"/>
  <c r="O3" i="7"/>
  <c r="O52" i="7"/>
  <c r="O44" i="7"/>
  <c r="O43" i="7"/>
  <c r="O36" i="7"/>
  <c r="O29" i="7"/>
  <c r="O19" i="7"/>
  <c r="O16" i="7"/>
  <c r="O8" i="7"/>
  <c r="O4" i="7"/>
  <c r="O51" i="7"/>
  <c r="O41" i="7"/>
  <c r="O40" i="7"/>
  <c r="O35" i="7"/>
  <c r="O28" i="7"/>
  <c r="O25" i="7"/>
  <c r="O24" i="7"/>
  <c r="O23" i="7"/>
  <c r="O48" i="7"/>
  <c r="O20" i="7"/>
  <c r="O12" i="7"/>
  <c r="O50" i="7"/>
  <c r="O37" i="7"/>
  <c r="O34" i="7"/>
  <c r="O33" i="7"/>
  <c r="O32" i="7"/>
  <c r="O18" i="7"/>
  <c r="O2" i="7"/>
  <c r="O13" i="7"/>
  <c r="O46" i="7"/>
  <c r="O42" i="7"/>
  <c r="O38" i="7"/>
  <c r="O30" i="7"/>
  <c r="O26" i="7"/>
  <c r="O22" i="7"/>
  <c r="O14" i="7"/>
  <c r="O10" i="7"/>
  <c r="O6" i="7"/>
  <c r="B26" i="3" l="1"/>
  <c r="B18" i="3" l="1"/>
  <c r="B25" i="3"/>
  <c r="B24" i="3"/>
  <c r="B22" i="3"/>
  <c r="B21" i="3"/>
  <c r="B20" i="3"/>
  <c r="B19" i="3"/>
  <c r="B23" i="3" l="1"/>
  <c r="B3" i="5"/>
  <c r="F6" i="5" s="1"/>
  <c r="A3" i="5"/>
  <c r="B6" i="5" s="1"/>
  <c r="E6" i="5" s="1"/>
  <c r="A7" i="5"/>
  <c r="A8" i="5" s="1"/>
  <c r="I6" i="5" l="1"/>
  <c r="D7" i="5"/>
  <c r="A9" i="5"/>
  <c r="B8" i="5"/>
  <c r="C8" i="5" s="1"/>
  <c r="B7" i="5"/>
  <c r="C7" i="5" s="1"/>
  <c r="C6" i="5"/>
  <c r="A10" i="5" l="1"/>
  <c r="B9" i="5"/>
  <c r="C9" i="5" s="1"/>
  <c r="E7" i="5"/>
  <c r="I7" i="5" s="1"/>
  <c r="F7" i="5"/>
  <c r="L6" i="5"/>
  <c r="D8" i="5" l="1"/>
  <c r="F8" i="5" s="1"/>
  <c r="L7" i="5"/>
  <c r="A11" i="5"/>
  <c r="B10" i="5"/>
  <c r="C10" i="5" s="1"/>
  <c r="E8" i="5" l="1"/>
  <c r="I8" i="5" s="1"/>
  <c r="L8" i="5" s="1"/>
  <c r="A12" i="5"/>
  <c r="B11" i="5"/>
  <c r="C11" i="5" s="1"/>
  <c r="D9" i="5" l="1"/>
  <c r="F9" i="5" s="1"/>
  <c r="A13" i="5"/>
  <c r="B12" i="5"/>
  <c r="C12" i="5" s="1"/>
  <c r="E9" i="5" l="1"/>
  <c r="I9" i="5" s="1"/>
  <c r="L9" i="5" s="1"/>
  <c r="A14" i="5"/>
  <c r="B13" i="5"/>
  <c r="C13" i="5" s="1"/>
  <c r="D10" i="5" l="1"/>
  <c r="F10" i="5" s="1"/>
  <c r="A15" i="5"/>
  <c r="B14" i="5"/>
  <c r="C14" i="5" s="1"/>
  <c r="E10" i="5" l="1"/>
  <c r="I10" i="5" s="1"/>
  <c r="L10" i="5" s="1"/>
  <c r="A16" i="5"/>
  <c r="B15" i="5"/>
  <c r="C15" i="5" s="1"/>
  <c r="D11" i="5" l="1"/>
  <c r="E11" i="5" s="1"/>
  <c r="I11" i="5" s="1"/>
  <c r="A17" i="5"/>
  <c r="B16" i="5"/>
  <c r="C16" i="5" s="1"/>
  <c r="F11" i="5" l="1"/>
  <c r="L11" i="5" s="1"/>
  <c r="D12" i="5"/>
  <c r="E12" i="5" s="1"/>
  <c r="I12" i="5" s="1"/>
  <c r="A18" i="5"/>
  <c r="B17" i="5"/>
  <c r="C17" i="5" s="1"/>
  <c r="F12" i="5" l="1"/>
  <c r="L12" i="5" s="1"/>
  <c r="D13" i="5"/>
  <c r="F13" i="5" s="1"/>
  <c r="A19" i="5"/>
  <c r="B18" i="5"/>
  <c r="C18" i="5" s="1"/>
  <c r="E13" i="5" l="1"/>
  <c r="I13" i="5" s="1"/>
  <c r="L13" i="5" s="1"/>
  <c r="A20" i="5"/>
  <c r="B19" i="5"/>
  <c r="C19" i="5" s="1"/>
  <c r="D14" i="5" l="1"/>
  <c r="E14" i="5" s="1"/>
  <c r="I14" i="5" s="1"/>
  <c r="A21" i="5"/>
  <c r="B20" i="5"/>
  <c r="C20" i="5" s="1"/>
  <c r="D15" i="5" l="1"/>
  <c r="F15" i="5" s="1"/>
  <c r="F14" i="5"/>
  <c r="L14" i="5" s="1"/>
  <c r="A22" i="5"/>
  <c r="B21" i="5"/>
  <c r="C21" i="5" s="1"/>
  <c r="E15" i="5" l="1"/>
  <c r="I15" i="5" s="1"/>
  <c r="L15" i="5" s="1"/>
  <c r="A23" i="5"/>
  <c r="B22" i="5"/>
  <c r="C22" i="5" s="1"/>
  <c r="D16" i="5" l="1"/>
  <c r="E16" i="5" s="1"/>
  <c r="I16" i="5" s="1"/>
  <c r="A24" i="5"/>
  <c r="B23" i="5"/>
  <c r="C23" i="5" s="1"/>
  <c r="F16" i="5" l="1"/>
  <c r="L16" i="5" s="1"/>
  <c r="D17" i="5"/>
  <c r="F17" i="5" s="1"/>
  <c r="A25" i="5"/>
  <c r="B24" i="5"/>
  <c r="C24" i="5" s="1"/>
  <c r="E17" i="5" l="1"/>
  <c r="I17" i="5" s="1"/>
  <c r="L17" i="5" s="1"/>
  <c r="A26" i="5"/>
  <c r="B25" i="5"/>
  <c r="C25" i="5" s="1"/>
  <c r="D18" i="5" l="1"/>
  <c r="E18" i="5" s="1"/>
  <c r="I18" i="5" s="1"/>
  <c r="A27" i="5"/>
  <c r="B26" i="5"/>
  <c r="C26" i="5" s="1"/>
  <c r="D19" i="5" l="1"/>
  <c r="F19" i="5" s="1"/>
  <c r="F18" i="5"/>
  <c r="L18" i="5" s="1"/>
  <c r="A28" i="5"/>
  <c r="B27" i="5"/>
  <c r="C27" i="5" s="1"/>
  <c r="E19" i="5" l="1"/>
  <c r="I19" i="5" s="1"/>
  <c r="L19" i="5" s="1"/>
  <c r="A29" i="5"/>
  <c r="B28" i="5"/>
  <c r="C28" i="5" s="1"/>
  <c r="D20" i="5" l="1"/>
  <c r="E20" i="5" s="1"/>
  <c r="I20" i="5" s="1"/>
  <c r="A30" i="5"/>
  <c r="B29" i="5"/>
  <c r="C29" i="5" s="1"/>
  <c r="F20" i="5" l="1"/>
  <c r="L20" i="5" s="1"/>
  <c r="D21" i="5"/>
  <c r="F21" i="5" s="1"/>
  <c r="A31" i="5"/>
  <c r="B30" i="5"/>
  <c r="C30" i="5" s="1"/>
  <c r="E21" i="5" l="1"/>
  <c r="I21" i="5" s="1"/>
  <c r="L21" i="5" s="1"/>
  <c r="B31" i="5"/>
  <c r="C31" i="5" s="1"/>
  <c r="A32" i="5"/>
  <c r="D22" i="5" l="1"/>
  <c r="E22" i="5" s="1"/>
  <c r="I22" i="5" s="1"/>
  <c r="B32" i="5"/>
  <c r="C32" i="5" s="1"/>
  <c r="A33" i="5"/>
  <c r="F22" i="5" l="1"/>
  <c r="L22" i="5" s="1"/>
  <c r="D23" i="5"/>
  <c r="E23" i="5" s="1"/>
  <c r="I23" i="5" s="1"/>
  <c r="B33" i="5"/>
  <c r="C33" i="5" s="1"/>
  <c r="A34" i="5"/>
  <c r="F23" i="5" l="1"/>
  <c r="L23" i="5" s="1"/>
  <c r="D24" i="5"/>
  <c r="E24" i="5" s="1"/>
  <c r="I24" i="5" s="1"/>
  <c r="B34" i="5"/>
  <c r="C34" i="5" s="1"/>
  <c r="A35" i="5"/>
  <c r="F24" i="5" l="1"/>
  <c r="L24" i="5" s="1"/>
  <c r="D25" i="5"/>
  <c r="E25" i="5" s="1"/>
  <c r="I25" i="5" s="1"/>
  <c r="B35" i="5"/>
  <c r="C35" i="5" s="1"/>
  <c r="A36" i="5"/>
  <c r="F25" i="5" l="1"/>
  <c r="L25" i="5" s="1"/>
  <c r="D26" i="5"/>
  <c r="E26" i="5" s="1"/>
  <c r="I26" i="5" s="1"/>
  <c r="B36" i="5"/>
  <c r="C36" i="5" s="1"/>
  <c r="A37" i="5"/>
  <c r="F26" i="5" l="1"/>
  <c r="L26" i="5" s="1"/>
  <c r="D27" i="5"/>
  <c r="E27" i="5" s="1"/>
  <c r="I27" i="5" s="1"/>
  <c r="B37" i="5"/>
  <c r="C37" i="5" s="1"/>
  <c r="A38" i="5"/>
  <c r="F27" i="5" l="1"/>
  <c r="L27" i="5" s="1"/>
  <c r="D28" i="5"/>
  <c r="E28" i="5" s="1"/>
  <c r="I28" i="5" s="1"/>
  <c r="B38" i="5"/>
  <c r="C38" i="5" s="1"/>
  <c r="A39" i="5"/>
  <c r="F28" i="5" l="1"/>
  <c r="L28" i="5" s="1"/>
  <c r="B39" i="5"/>
  <c r="C39" i="5" s="1"/>
  <c r="A40" i="5"/>
  <c r="D29" i="5"/>
  <c r="E29" i="5" l="1"/>
  <c r="I29" i="5" s="1"/>
  <c r="F29" i="5"/>
  <c r="B40" i="5"/>
  <c r="C40" i="5" s="1"/>
  <c r="A41" i="5"/>
  <c r="D30" i="5" l="1"/>
  <c r="E30" i="5" s="1"/>
  <c r="I30" i="5" s="1"/>
  <c r="B41" i="5"/>
  <c r="C41" i="5" s="1"/>
  <c r="A42" i="5"/>
  <c r="L29" i="5"/>
  <c r="D31" i="5" l="1"/>
  <c r="F31" i="5" s="1"/>
  <c r="F30" i="5"/>
  <c r="L30" i="5" s="1"/>
  <c r="B42" i="5"/>
  <c r="C42" i="5" s="1"/>
  <c r="A43" i="5"/>
  <c r="E31" i="5" l="1"/>
  <c r="I31" i="5" s="1"/>
  <c r="L31" i="5" s="1"/>
  <c r="B43" i="5"/>
  <c r="C43" i="5" s="1"/>
  <c r="A44" i="5"/>
  <c r="D32" i="5" l="1"/>
  <c r="F32" i="5" s="1"/>
  <c r="B44" i="5"/>
  <c r="C44" i="5" s="1"/>
  <c r="A45" i="5"/>
  <c r="E32" i="5" l="1"/>
  <c r="I32" i="5" s="1"/>
  <c r="L32" i="5" s="1"/>
  <c r="B45" i="5"/>
  <c r="C45" i="5" s="1"/>
  <c r="A46" i="5"/>
  <c r="D33" i="5" l="1"/>
  <c r="E33" i="5" s="1"/>
  <c r="I33" i="5" s="1"/>
  <c r="B46" i="5"/>
  <c r="C46" i="5" s="1"/>
  <c r="A47" i="5"/>
  <c r="D34" i="5" l="1"/>
  <c r="F34" i="5" s="1"/>
  <c r="F33" i="5"/>
  <c r="L33" i="5" s="1"/>
  <c r="B47" i="5"/>
  <c r="C47" i="5" s="1"/>
  <c r="A48" i="5"/>
  <c r="E34" i="5" l="1"/>
  <c r="I34" i="5" s="1"/>
  <c r="L34" i="5" s="1"/>
  <c r="B48" i="5"/>
  <c r="C48" i="5" s="1"/>
  <c r="A49" i="5"/>
  <c r="D35" i="5" l="1"/>
  <c r="B49" i="5"/>
  <c r="C49" i="5" s="1"/>
  <c r="A50" i="5"/>
  <c r="F35" i="5" l="1"/>
  <c r="E35" i="5"/>
  <c r="B50" i="5"/>
  <c r="C50" i="5" s="1"/>
  <c r="A51" i="5"/>
  <c r="I35" i="5" l="1"/>
  <c r="L35" i="5" s="1"/>
  <c r="D36" i="5"/>
  <c r="B51" i="5"/>
  <c r="C51" i="5" s="1"/>
  <c r="A52" i="5"/>
  <c r="E36" i="5" l="1"/>
  <c r="I36" i="5" s="1"/>
  <c r="F36" i="5"/>
  <c r="B52" i="5"/>
  <c r="C52" i="5" s="1"/>
  <c r="A53" i="5"/>
  <c r="L36" i="5" l="1"/>
  <c r="D37" i="5"/>
  <c r="B53" i="5"/>
  <c r="C53" i="5" s="1"/>
  <c r="A54" i="5"/>
  <c r="E37" i="5" l="1"/>
  <c r="I37" i="5" s="1"/>
  <c r="F37" i="5"/>
  <c r="B54" i="5"/>
  <c r="C54" i="5" s="1"/>
  <c r="A55" i="5"/>
  <c r="D38" i="5" l="1"/>
  <c r="F38" i="5" s="1"/>
  <c r="L37" i="5"/>
  <c r="B55" i="5"/>
  <c r="C55" i="5" s="1"/>
  <c r="A56" i="5"/>
  <c r="E38" i="5" l="1"/>
  <c r="I38" i="5" s="1"/>
  <c r="L38" i="5" s="1"/>
  <c r="B56" i="5"/>
  <c r="C56" i="5" s="1"/>
  <c r="A57" i="5"/>
  <c r="D39" i="5" l="1"/>
  <c r="B57" i="5"/>
  <c r="C57" i="5" s="1"/>
  <c r="A58" i="5"/>
  <c r="E39" i="5" l="1"/>
  <c r="I39" i="5" s="1"/>
  <c r="F39" i="5"/>
  <c r="B58" i="5"/>
  <c r="C58" i="5" s="1"/>
  <c r="A59" i="5"/>
  <c r="D40" i="5" l="1"/>
  <c r="L39" i="5"/>
  <c r="B59" i="5"/>
  <c r="C59" i="5" s="1"/>
  <c r="A60" i="5"/>
  <c r="F40" i="5" l="1"/>
  <c r="E40" i="5"/>
  <c r="B60" i="5"/>
  <c r="C60" i="5" s="1"/>
  <c r="A61" i="5"/>
  <c r="I40" i="5" l="1"/>
  <c r="L40" i="5" s="1"/>
  <c r="D41" i="5"/>
  <c r="B61" i="5"/>
  <c r="C61" i="5" s="1"/>
  <c r="A62" i="5"/>
  <c r="F41" i="5" l="1"/>
  <c r="E41" i="5"/>
  <c r="I41" i="5" s="1"/>
  <c r="B62" i="5"/>
  <c r="C62" i="5" s="1"/>
  <c r="A63" i="5"/>
  <c r="L41" i="5" l="1"/>
  <c r="D42" i="5"/>
  <c r="A64" i="5"/>
  <c r="B63" i="5"/>
  <c r="C63" i="5" s="1"/>
  <c r="E42" i="5" l="1"/>
  <c r="F42" i="5"/>
  <c r="B64" i="5"/>
  <c r="C64" i="5" s="1"/>
  <c r="A65" i="5"/>
  <c r="I42" i="5" l="1"/>
  <c r="L42" i="5" s="1"/>
  <c r="D43" i="5"/>
  <c r="B65" i="5"/>
  <c r="C65" i="5" s="1"/>
  <c r="A66" i="5"/>
  <c r="E43" i="5" l="1"/>
  <c r="I43" i="5" s="1"/>
  <c r="F43" i="5"/>
  <c r="B66" i="5"/>
  <c r="C66" i="5" s="1"/>
  <c r="A67" i="5"/>
  <c r="L43" i="5" l="1"/>
  <c r="D44" i="5"/>
  <c r="B67" i="5"/>
  <c r="C67" i="5" s="1"/>
  <c r="A68" i="5"/>
  <c r="E44" i="5" l="1"/>
  <c r="F44" i="5"/>
  <c r="B68" i="5"/>
  <c r="C68" i="5" s="1"/>
  <c r="A69" i="5"/>
  <c r="D45" i="5" l="1"/>
  <c r="I44" i="5"/>
  <c r="L44" i="5" s="1"/>
  <c r="B69" i="5"/>
  <c r="C69" i="5" s="1"/>
  <c r="A70" i="5"/>
  <c r="E45" i="5" l="1"/>
  <c r="F45" i="5"/>
  <c r="B70" i="5"/>
  <c r="C70" i="5" s="1"/>
  <c r="A71" i="5"/>
  <c r="D46" i="5" l="1"/>
  <c r="I45" i="5"/>
  <c r="L45" i="5" s="1"/>
  <c r="B71" i="5"/>
  <c r="C71" i="5" s="1"/>
  <c r="A72" i="5"/>
  <c r="E46" i="5" l="1"/>
  <c r="I46" i="5" s="1"/>
  <c r="F46" i="5"/>
  <c r="B72" i="5"/>
  <c r="C72" i="5" s="1"/>
  <c r="A73" i="5"/>
  <c r="L46" i="5" l="1"/>
  <c r="D47" i="5"/>
  <c r="B73" i="5"/>
  <c r="C73" i="5" s="1"/>
  <c r="A74" i="5"/>
  <c r="E47" i="5" l="1"/>
  <c r="I47" i="5" s="1"/>
  <c r="F47" i="5"/>
  <c r="B74" i="5"/>
  <c r="C74" i="5" s="1"/>
  <c r="A75" i="5"/>
  <c r="L47" i="5" l="1"/>
  <c r="D48" i="5"/>
  <c r="B75" i="5"/>
  <c r="C75" i="5" s="1"/>
  <c r="A76" i="5"/>
  <c r="E48" i="5" l="1"/>
  <c r="F48" i="5"/>
  <c r="B76" i="5"/>
  <c r="C76" i="5" s="1"/>
  <c r="A77" i="5"/>
  <c r="I48" i="5" l="1"/>
  <c r="L48" i="5" s="1"/>
  <c r="D49" i="5"/>
  <c r="B77" i="5"/>
  <c r="C77" i="5" s="1"/>
  <c r="A78" i="5"/>
  <c r="E49" i="5" l="1"/>
  <c r="I49" i="5" s="1"/>
  <c r="F49" i="5"/>
  <c r="B78" i="5"/>
  <c r="C78" i="5" s="1"/>
  <c r="A79" i="5"/>
  <c r="D50" i="5" l="1"/>
  <c r="F50" i="5" s="1"/>
  <c r="L49" i="5"/>
  <c r="B79" i="5"/>
  <c r="C79" i="5" s="1"/>
  <c r="A80" i="5"/>
  <c r="E50" i="5" l="1"/>
  <c r="I50" i="5" s="1"/>
  <c r="L50" i="5" s="1"/>
  <c r="B80" i="5"/>
  <c r="C80" i="5" s="1"/>
  <c r="A81" i="5"/>
  <c r="D51" i="5" l="1"/>
  <c r="E51" i="5" s="1"/>
  <c r="I51" i="5" s="1"/>
  <c r="B81" i="5"/>
  <c r="C81" i="5" s="1"/>
  <c r="A82" i="5"/>
  <c r="D52" i="5" l="1"/>
  <c r="F52" i="5" s="1"/>
  <c r="F51" i="5"/>
  <c r="L51" i="5" s="1"/>
  <c r="A83" i="5"/>
  <c r="B82" i="5"/>
  <c r="C82" i="5" s="1"/>
  <c r="E52" i="5" l="1"/>
  <c r="I52" i="5" s="1"/>
  <c r="L52" i="5" s="1"/>
  <c r="B83" i="5"/>
  <c r="C83" i="5" s="1"/>
  <c r="A84" i="5"/>
  <c r="D53" i="5" l="1"/>
  <c r="F53" i="5" s="1"/>
  <c r="B84" i="5"/>
  <c r="C84" i="5" s="1"/>
  <c r="A85" i="5"/>
  <c r="E53" i="5" l="1"/>
  <c r="I53" i="5" s="1"/>
  <c r="L53" i="5" s="1"/>
  <c r="B85" i="5"/>
  <c r="C85" i="5" s="1"/>
  <c r="A86" i="5"/>
  <c r="D54" i="5" l="1"/>
  <c r="F54" i="5" s="1"/>
  <c r="B86" i="5"/>
  <c r="C86" i="5" s="1"/>
  <c r="A87" i="5"/>
  <c r="E54" i="5" l="1"/>
  <c r="I54" i="5" s="1"/>
  <c r="L54" i="5" s="1"/>
  <c r="B87" i="5"/>
  <c r="C87" i="5" s="1"/>
  <c r="A88" i="5"/>
  <c r="D55" i="5" l="1"/>
  <c r="F55" i="5" s="1"/>
  <c r="B88" i="5"/>
  <c r="C88" i="5" s="1"/>
  <c r="A89" i="5"/>
  <c r="E55" i="5" l="1"/>
  <c r="I55" i="5" s="1"/>
  <c r="L55" i="5" s="1"/>
  <c r="B89" i="5"/>
  <c r="C89" i="5" s="1"/>
  <c r="A90" i="5"/>
  <c r="D56" i="5" l="1"/>
  <c r="F56" i="5" s="1"/>
  <c r="B90" i="5"/>
  <c r="C90" i="5" s="1"/>
  <c r="A91" i="5"/>
  <c r="E56" i="5" l="1"/>
  <c r="I56" i="5" s="1"/>
  <c r="L56" i="5" s="1"/>
  <c r="B91" i="5"/>
  <c r="C91" i="5" s="1"/>
  <c r="A92" i="5"/>
  <c r="D57" i="5" l="1"/>
  <c r="F57" i="5" s="1"/>
  <c r="B92" i="5"/>
  <c r="C92" i="5" s="1"/>
  <c r="A93" i="5"/>
  <c r="E57" i="5" l="1"/>
  <c r="I57" i="5" s="1"/>
  <c r="L57" i="5" s="1"/>
  <c r="B93" i="5"/>
  <c r="C93" i="5" s="1"/>
  <c r="A94" i="5"/>
  <c r="D58" i="5" l="1"/>
  <c r="F58" i="5" s="1"/>
  <c r="B94" i="5"/>
  <c r="C94" i="5" s="1"/>
  <c r="A95" i="5"/>
  <c r="E58" i="5" l="1"/>
  <c r="D59" i="5" s="1"/>
  <c r="B95" i="5"/>
  <c r="C95" i="5" s="1"/>
  <c r="A96" i="5"/>
  <c r="I58" i="5" l="1"/>
  <c r="L58" i="5" s="1"/>
  <c r="F59" i="5"/>
  <c r="E59" i="5"/>
  <c r="B96" i="5"/>
  <c r="C96" i="5" s="1"/>
  <c r="A97" i="5"/>
  <c r="I59" i="5" l="1"/>
  <c r="L59" i="5" s="1"/>
  <c r="D60" i="5"/>
  <c r="B97" i="5"/>
  <c r="C97" i="5" s="1"/>
  <c r="A98" i="5"/>
  <c r="F60" i="5" l="1"/>
  <c r="E60" i="5"/>
  <c r="B98" i="5"/>
  <c r="C98" i="5" s="1"/>
  <c r="A99" i="5"/>
  <c r="I60" i="5" l="1"/>
  <c r="L60" i="5" s="1"/>
  <c r="D61" i="5"/>
  <c r="A100" i="5"/>
  <c r="B99" i="5"/>
  <c r="C99" i="5" s="1"/>
  <c r="F61" i="5" l="1"/>
  <c r="E61" i="5"/>
  <c r="A101" i="5"/>
  <c r="B100" i="5"/>
  <c r="C100" i="5" s="1"/>
  <c r="I61" i="5" l="1"/>
  <c r="L61" i="5" s="1"/>
  <c r="D62" i="5"/>
  <c r="A102" i="5"/>
  <c r="B101" i="5"/>
  <c r="C101" i="5" s="1"/>
  <c r="F62" i="5" l="1"/>
  <c r="E62" i="5"/>
  <c r="A103" i="5"/>
  <c r="B102" i="5"/>
  <c r="C102" i="5" s="1"/>
  <c r="I62" i="5" l="1"/>
  <c r="L62" i="5" s="1"/>
  <c r="D63" i="5"/>
  <c r="A104" i="5"/>
  <c r="B103" i="5"/>
  <c r="C103" i="5" s="1"/>
  <c r="F63" i="5" l="1"/>
  <c r="E63" i="5"/>
  <c r="A105" i="5"/>
  <c r="B104" i="5"/>
  <c r="C104" i="5" s="1"/>
  <c r="I63" i="5" l="1"/>
  <c r="L63" i="5" s="1"/>
  <c r="D64" i="5"/>
  <c r="A106" i="5"/>
  <c r="B105" i="5"/>
  <c r="C105" i="5" s="1"/>
  <c r="F64" i="5" l="1"/>
  <c r="E64" i="5"/>
  <c r="A107" i="5"/>
  <c r="B106" i="5"/>
  <c r="C106" i="5" s="1"/>
  <c r="I64" i="5" l="1"/>
  <c r="L64" i="5" s="1"/>
  <c r="D65" i="5"/>
  <c r="A108" i="5"/>
  <c r="B107" i="5"/>
  <c r="C107" i="5" s="1"/>
  <c r="F65" i="5" l="1"/>
  <c r="E65" i="5"/>
  <c r="A109" i="5"/>
  <c r="B108" i="5"/>
  <c r="C108" i="5" s="1"/>
  <c r="I65" i="5" l="1"/>
  <c r="L65" i="5" s="1"/>
  <c r="D66" i="5"/>
  <c r="A110" i="5"/>
  <c r="B109" i="5"/>
  <c r="C109" i="5" s="1"/>
  <c r="F66" i="5" l="1"/>
  <c r="E66" i="5"/>
  <c r="I66" i="5" s="1"/>
  <c r="A111" i="5"/>
  <c r="B110" i="5"/>
  <c r="C110" i="5" s="1"/>
  <c r="L66" i="5" l="1"/>
  <c r="D67" i="5"/>
  <c r="E67" i="5" s="1"/>
  <c r="I67" i="5" s="1"/>
  <c r="A112" i="5"/>
  <c r="B111" i="5"/>
  <c r="C111" i="5" s="1"/>
  <c r="F67" i="5" l="1"/>
  <c r="L67" i="5" s="1"/>
  <c r="D68" i="5"/>
  <c r="F68" i="5" s="1"/>
  <c r="B112" i="5"/>
  <c r="C112" i="5" s="1"/>
  <c r="A113" i="5"/>
  <c r="E68" i="5" l="1"/>
  <c r="I68" i="5" s="1"/>
  <c r="L68" i="5" s="1"/>
  <c r="B113" i="5"/>
  <c r="C113" i="5" s="1"/>
  <c r="A114" i="5"/>
  <c r="D69" i="5" l="1"/>
  <c r="F69" i="5" s="1"/>
  <c r="B114" i="5"/>
  <c r="C114" i="5" s="1"/>
  <c r="A115" i="5"/>
  <c r="E69" i="5" l="1"/>
  <c r="I69" i="5" s="1"/>
  <c r="L69" i="5" s="1"/>
  <c r="B115" i="5"/>
  <c r="C115" i="5" s="1"/>
  <c r="A116" i="5"/>
  <c r="D70" i="5" l="1"/>
  <c r="B116" i="5"/>
  <c r="C116" i="5" s="1"/>
  <c r="A117" i="5"/>
  <c r="F70" i="5" l="1"/>
  <c r="E70" i="5"/>
  <c r="B117" i="5"/>
  <c r="C117" i="5" s="1"/>
  <c r="A118" i="5"/>
  <c r="I70" i="5" l="1"/>
  <c r="L70" i="5" s="1"/>
  <c r="D71" i="5"/>
  <c r="B118" i="5"/>
  <c r="C118" i="5" s="1"/>
  <c r="A119" i="5"/>
  <c r="F71" i="5" l="1"/>
  <c r="E71" i="5"/>
  <c r="I71" i="5" s="1"/>
  <c r="B119" i="5"/>
  <c r="C119" i="5" s="1"/>
  <c r="A120" i="5"/>
  <c r="L71" i="5" l="1"/>
  <c r="D72" i="5"/>
  <c r="B120" i="5"/>
  <c r="C120" i="5" s="1"/>
  <c r="A121" i="5"/>
  <c r="F72" i="5" l="1"/>
  <c r="E72" i="5"/>
  <c r="I72" i="5" s="1"/>
  <c r="B121" i="5"/>
  <c r="C121" i="5" s="1"/>
  <c r="A122" i="5"/>
  <c r="D73" i="5" l="1"/>
  <c r="E73" i="5" s="1"/>
  <c r="L72" i="5"/>
  <c r="B122" i="5"/>
  <c r="C122" i="5" s="1"/>
  <c r="A123" i="5"/>
  <c r="F73" i="5" l="1"/>
  <c r="I73" i="5"/>
  <c r="D74" i="5"/>
  <c r="B123" i="5"/>
  <c r="C123" i="5" s="1"/>
  <c r="A124" i="5"/>
  <c r="L73" i="5" l="1"/>
  <c r="F74" i="5"/>
  <c r="E74" i="5"/>
  <c r="B124" i="5"/>
  <c r="C124" i="5" s="1"/>
  <c r="A125" i="5"/>
  <c r="I74" i="5" l="1"/>
  <c r="L74" i="5" s="1"/>
  <c r="D75" i="5"/>
  <c r="B125" i="5"/>
  <c r="C125" i="5" s="1"/>
  <c r="A126" i="5"/>
  <c r="F75" i="5" l="1"/>
  <c r="E75" i="5"/>
  <c r="B126" i="5"/>
  <c r="C126" i="5" s="1"/>
  <c r="A127" i="5"/>
  <c r="B127" i="5" s="1"/>
  <c r="C127" i="5" s="1"/>
  <c r="I75" i="5" l="1"/>
  <c r="L75" i="5" s="1"/>
  <c r="D76" i="5"/>
  <c r="E76" i="5" l="1"/>
  <c r="I76" i="5" s="1"/>
  <c r="F76" i="5"/>
  <c r="D77" i="5" l="1"/>
  <c r="F77" i="5" s="1"/>
  <c r="L76" i="5"/>
  <c r="E77" i="5" l="1"/>
  <c r="I77" i="5" s="1"/>
  <c r="L77" i="5" s="1"/>
  <c r="D78" i="5" l="1"/>
  <c r="E78" i="5" s="1"/>
  <c r="I78" i="5" s="1"/>
  <c r="D79" i="5" l="1"/>
  <c r="F79" i="5" s="1"/>
  <c r="F78" i="5"/>
  <c r="L78" i="5" s="1"/>
  <c r="E79" i="5" l="1"/>
  <c r="I79" i="5" s="1"/>
  <c r="L79" i="5" s="1"/>
  <c r="D80" i="5" l="1"/>
  <c r="E80" i="5" s="1"/>
  <c r="I80" i="5" s="1"/>
  <c r="F80" i="5" l="1"/>
  <c r="L80" i="5" s="1"/>
  <c r="D81" i="5"/>
  <c r="F81" i="5" l="1"/>
  <c r="E81" i="5"/>
  <c r="I81" i="5" s="1"/>
  <c r="L81" i="5" l="1"/>
  <c r="D82" i="5"/>
  <c r="F82" i="5" l="1"/>
  <c r="E82" i="5"/>
  <c r="I82" i="5" s="1"/>
  <c r="D83" i="5" l="1"/>
  <c r="L82" i="5"/>
  <c r="F83" i="5" l="1"/>
  <c r="E83" i="5"/>
  <c r="I83" i="5" s="1"/>
  <c r="D84" i="5" l="1"/>
  <c r="L83" i="5"/>
  <c r="F84" i="5" l="1"/>
  <c r="E84" i="5"/>
  <c r="I84" i="5" s="1"/>
  <c r="D85" i="5" l="1"/>
  <c r="L84" i="5"/>
  <c r="F85" i="5" l="1"/>
  <c r="E85" i="5"/>
  <c r="I85" i="5" s="1"/>
  <c r="L85" i="5" l="1"/>
  <c r="D86" i="5"/>
  <c r="F86" i="5" l="1"/>
  <c r="E86" i="5"/>
  <c r="I86" i="5" s="1"/>
  <c r="D87" i="5" l="1"/>
  <c r="L86" i="5"/>
  <c r="F87" i="5" l="1"/>
  <c r="E87" i="5"/>
  <c r="I87" i="5" s="1"/>
  <c r="L87" i="5" l="1"/>
  <c r="D88" i="5"/>
  <c r="F88" i="5" l="1"/>
  <c r="E88" i="5"/>
  <c r="I88" i="5" s="1"/>
  <c r="L88" i="5" l="1"/>
  <c r="D89" i="5"/>
  <c r="F89" i="5" l="1"/>
  <c r="E89" i="5"/>
  <c r="I89" i="5" s="1"/>
  <c r="L89" i="5" l="1"/>
  <c r="D90" i="5"/>
  <c r="F90" i="5" l="1"/>
  <c r="E90" i="5"/>
  <c r="I90" i="5" s="1"/>
  <c r="L90" i="5" l="1"/>
  <c r="D91" i="5"/>
  <c r="F91" i="5" l="1"/>
  <c r="E91" i="5"/>
  <c r="I91" i="5" s="1"/>
  <c r="L91" i="5" l="1"/>
  <c r="D92" i="5"/>
  <c r="F92" i="5" l="1"/>
  <c r="E92" i="5"/>
  <c r="I92" i="5" s="1"/>
  <c r="L92" i="5" l="1"/>
  <c r="D93" i="5"/>
  <c r="F93" i="5" l="1"/>
  <c r="E93" i="5"/>
  <c r="I93" i="5" s="1"/>
  <c r="L93" i="5" l="1"/>
  <c r="D94" i="5"/>
  <c r="F94" i="5" l="1"/>
  <c r="E94" i="5"/>
  <c r="I94" i="5" s="1"/>
  <c r="L94" i="5" l="1"/>
  <c r="D95" i="5"/>
  <c r="F95" i="5" l="1"/>
  <c r="E95" i="5"/>
  <c r="I95" i="5" s="1"/>
  <c r="L95" i="5" l="1"/>
  <c r="D96" i="5"/>
  <c r="F96" i="5" l="1"/>
  <c r="E96" i="5"/>
  <c r="I96" i="5" s="1"/>
  <c r="L96" i="5" l="1"/>
  <c r="D97" i="5"/>
  <c r="F97" i="5" l="1"/>
  <c r="E97" i="5"/>
  <c r="I97" i="5" s="1"/>
  <c r="L97" i="5" l="1"/>
  <c r="D98" i="5"/>
  <c r="F98" i="5" l="1"/>
  <c r="E98" i="5"/>
  <c r="I98" i="5" s="1"/>
  <c r="L98" i="5" l="1"/>
  <c r="D99" i="5"/>
  <c r="F99" i="5" l="1"/>
  <c r="E99" i="5"/>
  <c r="I99" i="5" s="1"/>
  <c r="L99" i="5" l="1"/>
  <c r="D100" i="5"/>
  <c r="E100" i="5" l="1"/>
  <c r="I100" i="5" s="1"/>
  <c r="F100" i="5"/>
  <c r="D101" i="5" l="1"/>
  <c r="F101" i="5" s="1"/>
  <c r="L100" i="5"/>
  <c r="E101" i="5" l="1"/>
  <c r="I101" i="5" s="1"/>
  <c r="L101" i="5" s="1"/>
  <c r="D102" i="5" l="1"/>
  <c r="F102" i="5" s="1"/>
  <c r="E102" i="5" l="1"/>
  <c r="I102" i="5" s="1"/>
  <c r="L102" i="5" s="1"/>
  <c r="D103" i="5" l="1"/>
  <c r="E103" i="5" s="1"/>
  <c r="I103" i="5" s="1"/>
  <c r="D104" i="5" l="1"/>
  <c r="F104" i="5" s="1"/>
  <c r="F103" i="5"/>
  <c r="L103" i="5" s="1"/>
  <c r="E104" i="5" l="1"/>
  <c r="I104" i="5" s="1"/>
  <c r="L104" i="5" s="1"/>
  <c r="D105" i="5" l="1"/>
  <c r="E105" i="5" s="1"/>
  <c r="I105" i="5" s="1"/>
  <c r="D106" i="5" l="1"/>
  <c r="E106" i="5" s="1"/>
  <c r="I106" i="5" s="1"/>
  <c r="F105" i="5"/>
  <c r="L105" i="5" s="1"/>
  <c r="D107" i="5" l="1"/>
  <c r="F107" i="5" s="1"/>
  <c r="F106" i="5"/>
  <c r="L106" i="5" s="1"/>
  <c r="E107" i="5" l="1"/>
  <c r="I107" i="5" s="1"/>
  <c r="L107" i="5" s="1"/>
  <c r="D108" i="5" l="1"/>
  <c r="E108" i="5" s="1"/>
  <c r="I108" i="5" s="1"/>
  <c r="D109" i="5" l="1"/>
  <c r="E109" i="5" s="1"/>
  <c r="I109" i="5" s="1"/>
  <c r="F108" i="5"/>
  <c r="L108" i="5" s="1"/>
  <c r="F109" i="5" l="1"/>
  <c r="L109" i="5" s="1"/>
  <c r="D110" i="5"/>
  <c r="F110" i="5" s="1"/>
  <c r="E110" i="5" l="1"/>
  <c r="I110" i="5" s="1"/>
  <c r="L110" i="5" s="1"/>
  <c r="D111" i="5" l="1"/>
  <c r="E111" i="5" s="1"/>
  <c r="I111" i="5" s="1"/>
  <c r="F111" i="5" l="1"/>
  <c r="L111" i="5" s="1"/>
  <c r="D112" i="5"/>
  <c r="F112" i="5" s="1"/>
  <c r="E112" i="5" l="1"/>
  <c r="I112" i="5" s="1"/>
  <c r="L112" i="5" s="1"/>
  <c r="D113" i="5" l="1"/>
  <c r="F113" i="5" s="1"/>
  <c r="E113" i="5" l="1"/>
  <c r="I113" i="5" s="1"/>
  <c r="L113" i="5" s="1"/>
  <c r="D114" i="5" l="1"/>
  <c r="E114" i="5" s="1"/>
  <c r="I114" i="5" s="1"/>
  <c r="F114" i="5" l="1"/>
  <c r="L114" i="5" s="1"/>
  <c r="D115" i="5"/>
  <c r="F115" i="5" l="1"/>
  <c r="E115" i="5"/>
  <c r="I115" i="5" s="1"/>
  <c r="L115" i="5" l="1"/>
  <c r="D116" i="5"/>
  <c r="F116" i="5" l="1"/>
  <c r="E116" i="5"/>
  <c r="I116" i="5" s="1"/>
  <c r="L116" i="5" l="1"/>
  <c r="D117" i="5"/>
  <c r="F117" i="5" s="1"/>
  <c r="E117" i="5" l="1"/>
  <c r="I117" i="5" s="1"/>
  <c r="L117" i="5" s="1"/>
  <c r="D118" i="5" l="1"/>
  <c r="E118" i="5" s="1"/>
  <c r="I118" i="5" s="1"/>
  <c r="D119" i="5" l="1"/>
  <c r="F118" i="5"/>
  <c r="L118" i="5" s="1"/>
  <c r="F119" i="5" l="1"/>
  <c r="E119" i="5"/>
  <c r="I119" i="5" s="1"/>
  <c r="L119" i="5" l="1"/>
  <c r="D120" i="5"/>
  <c r="E120" i="5" l="1"/>
  <c r="I120" i="5" s="1"/>
  <c r="F120" i="5"/>
  <c r="L120" i="5" l="1"/>
  <c r="D121" i="5"/>
  <c r="F121" i="5" l="1"/>
  <c r="E121" i="5"/>
  <c r="I121" i="5" s="1"/>
  <c r="L121" i="5" l="1"/>
  <c r="D122" i="5"/>
  <c r="E122" i="5" l="1"/>
  <c r="I122" i="5" s="1"/>
  <c r="F122" i="5"/>
  <c r="D123" i="5" l="1"/>
  <c r="F123" i="5" s="1"/>
  <c r="L122" i="5"/>
  <c r="E123" i="5" l="1"/>
  <c r="I123" i="5" s="1"/>
  <c r="L123" i="5" s="1"/>
  <c r="D124" i="5" l="1"/>
  <c r="E124" i="5" s="1"/>
  <c r="I124" i="5" s="1"/>
  <c r="F124" i="5" l="1"/>
  <c r="L124" i="5" s="1"/>
  <c r="D125" i="5"/>
  <c r="F125" i="5" s="1"/>
  <c r="E125" i="5" l="1"/>
  <c r="I125" i="5" s="1"/>
  <c r="L125" i="5" s="1"/>
  <c r="B9" i="3"/>
  <c r="B13" i="3" s="1"/>
  <c r="D126" i="5" l="1"/>
  <c r="F126" i="5" s="1"/>
  <c r="B12" i="3"/>
  <c r="E126" i="5" l="1"/>
  <c r="I126" i="5" s="1"/>
  <c r="L126" i="5" s="1"/>
  <c r="D127" i="5" l="1"/>
  <c r="E127" i="5" s="1"/>
  <c r="I127" i="5" s="1"/>
  <c r="F127" i="5" l="1"/>
  <c r="G122" i="5" s="1"/>
  <c r="J127" i="5"/>
  <c r="K127" i="5" s="1"/>
  <c r="J28" i="5"/>
  <c r="J22" i="5"/>
  <c r="J53" i="5"/>
  <c r="J123" i="5"/>
  <c r="J33" i="5"/>
  <c r="J93" i="5"/>
  <c r="J126" i="5"/>
  <c r="J37" i="5"/>
  <c r="J69" i="5"/>
  <c r="J106" i="5"/>
  <c r="J17" i="5"/>
  <c r="J49" i="5"/>
  <c r="J81" i="5"/>
  <c r="J108" i="5"/>
  <c r="J42" i="5"/>
  <c r="J105" i="5"/>
  <c r="J46" i="5"/>
  <c r="J111" i="5"/>
  <c r="J65" i="5"/>
  <c r="J7" i="5"/>
  <c r="J70" i="5"/>
  <c r="J124" i="5"/>
  <c r="J60" i="5"/>
  <c r="J115" i="5"/>
  <c r="J51" i="5"/>
  <c r="J103" i="5"/>
  <c r="J40" i="5"/>
  <c r="J95" i="5"/>
  <c r="J29" i="5"/>
  <c r="J116" i="5"/>
  <c r="J52" i="5"/>
  <c r="J109" i="5"/>
  <c r="J71" i="5"/>
  <c r="J55" i="5"/>
  <c r="J32" i="5"/>
  <c r="J80" i="5"/>
  <c r="J118" i="5"/>
  <c r="J20" i="5"/>
  <c r="J66" i="5"/>
  <c r="J74" i="5"/>
  <c r="J39" i="5"/>
  <c r="J64" i="5"/>
  <c r="J91" i="5"/>
  <c r="J16" i="5"/>
  <c r="J75" i="5"/>
  <c r="J85" i="5"/>
  <c r="J10" i="5"/>
  <c r="J15" i="5"/>
  <c r="J38" i="5"/>
  <c r="J83" i="5"/>
  <c r="J63" i="5"/>
  <c r="J48" i="5"/>
  <c r="J87" i="5"/>
  <c r="J8" i="5"/>
  <c r="J78" i="5"/>
  <c r="J102" i="5"/>
  <c r="J19" i="5"/>
  <c r="J6" i="5"/>
  <c r="J11" i="5"/>
  <c r="J43" i="5"/>
  <c r="J30" i="5"/>
  <c r="J59" i="5"/>
  <c r="J34" i="5"/>
  <c r="J92" i="5"/>
  <c r="J72" i="5"/>
  <c r="J84" i="5"/>
  <c r="J97" i="5"/>
  <c r="J23" i="5"/>
  <c r="J112" i="5"/>
  <c r="J79" i="5"/>
  <c r="J100" i="5"/>
  <c r="J21" i="5"/>
  <c r="J125" i="5"/>
  <c r="J57" i="5"/>
  <c r="J45" i="5"/>
  <c r="J122" i="5"/>
  <c r="J47" i="5"/>
  <c r="J67" i="5"/>
  <c r="J54" i="5"/>
  <c r="J31" i="5"/>
  <c r="J73" i="5"/>
  <c r="J62" i="5"/>
  <c r="J110" i="5"/>
  <c r="J114" i="5"/>
  <c r="J90" i="5"/>
  <c r="J27" i="5"/>
  <c r="J68" i="5"/>
  <c r="J36" i="5"/>
  <c r="J24" i="5"/>
  <c r="J44" i="5"/>
  <c r="J82" i="5"/>
  <c r="J58" i="5"/>
  <c r="J25" i="5"/>
  <c r="J13" i="5"/>
  <c r="J104" i="5"/>
  <c r="J12" i="5"/>
  <c r="J41" i="5"/>
  <c r="J119" i="5"/>
  <c r="J98" i="5"/>
  <c r="J99" i="5"/>
  <c r="J88" i="5"/>
  <c r="J107" i="5"/>
  <c r="J18" i="5"/>
  <c r="J117" i="5"/>
  <c r="J113" i="5"/>
  <c r="J120" i="5"/>
  <c r="J56" i="5"/>
  <c r="J76" i="5"/>
  <c r="J50" i="5"/>
  <c r="J26" i="5"/>
  <c r="J9" i="5"/>
  <c r="J14" i="5"/>
  <c r="J35" i="5"/>
  <c r="J86" i="5"/>
  <c r="J61" i="5"/>
  <c r="J89" i="5"/>
  <c r="J77" i="5"/>
  <c r="J96" i="5"/>
  <c r="J121" i="5"/>
  <c r="J94" i="5"/>
  <c r="J101" i="5"/>
  <c r="E3" i="3" l="1"/>
  <c r="L127" i="5"/>
  <c r="G89" i="5"/>
  <c r="G42" i="5"/>
  <c r="G16" i="5"/>
  <c r="G35" i="5"/>
  <c r="G66" i="5"/>
  <c r="G63" i="5"/>
  <c r="G67" i="5"/>
  <c r="G116" i="5"/>
  <c r="G49" i="5"/>
  <c r="G80" i="5"/>
  <c r="G32" i="5"/>
  <c r="G19" i="5"/>
  <c r="G15" i="5"/>
  <c r="G102" i="5"/>
  <c r="G52" i="5"/>
  <c r="G36" i="5"/>
  <c r="G38" i="5"/>
  <c r="G47" i="5"/>
  <c r="G61" i="5"/>
  <c r="G95" i="5"/>
  <c r="G119" i="5"/>
  <c r="G97" i="5"/>
  <c r="G127" i="5"/>
  <c r="H127" i="5" s="1"/>
  <c r="G62" i="5"/>
  <c r="G96" i="5"/>
  <c r="G91" i="5"/>
  <c r="G59" i="5"/>
  <c r="G93" i="5"/>
  <c r="G121" i="5"/>
  <c r="G30" i="5"/>
  <c r="G45" i="5"/>
  <c r="G65" i="5"/>
  <c r="G120" i="5"/>
  <c r="G43" i="5"/>
  <c r="G90" i="5"/>
  <c r="G84" i="5"/>
  <c r="G9" i="5"/>
  <c r="G31" i="5"/>
  <c r="G107" i="5"/>
  <c r="G26" i="5"/>
  <c r="G17" i="5"/>
  <c r="G103" i="5"/>
  <c r="G81" i="5"/>
  <c r="G70" i="5"/>
  <c r="G92" i="5"/>
  <c r="G37" i="5"/>
  <c r="G78" i="5"/>
  <c r="G73" i="5"/>
  <c r="G28" i="5"/>
  <c r="G104" i="5"/>
  <c r="G109" i="5"/>
  <c r="G39" i="5"/>
  <c r="G23" i="5"/>
  <c r="G8" i="5"/>
  <c r="G82" i="5"/>
  <c r="G21" i="5"/>
  <c r="G46" i="5"/>
  <c r="G10" i="5"/>
  <c r="G6" i="5"/>
  <c r="G85" i="5"/>
  <c r="G124" i="5"/>
  <c r="G12" i="5"/>
  <c r="G55" i="5"/>
  <c r="G14" i="5"/>
  <c r="G94" i="5"/>
  <c r="G123" i="5"/>
  <c r="G29" i="5"/>
  <c r="G60" i="5"/>
  <c r="G106" i="5"/>
  <c r="G72" i="5"/>
  <c r="G40" i="5"/>
  <c r="G110" i="5"/>
  <c r="G50" i="5"/>
  <c r="G41" i="5"/>
  <c r="G58" i="5"/>
  <c r="G105" i="5"/>
  <c r="G51" i="5"/>
  <c r="G100" i="5"/>
  <c r="G108" i="5"/>
  <c r="G53" i="5"/>
  <c r="G24" i="5"/>
  <c r="G74" i="5"/>
  <c r="G126" i="5"/>
  <c r="G57" i="5"/>
  <c r="G88" i="5"/>
  <c r="G7" i="5"/>
  <c r="G83" i="5"/>
  <c r="G86" i="5"/>
  <c r="G33" i="5"/>
  <c r="G64" i="5"/>
  <c r="G79" i="5"/>
  <c r="G99" i="5"/>
  <c r="G18" i="5"/>
  <c r="G118" i="5"/>
  <c r="G112" i="5"/>
  <c r="G111" i="5"/>
  <c r="G48" i="5"/>
  <c r="G22" i="5"/>
  <c r="G75" i="5"/>
  <c r="G11" i="5"/>
  <c r="G113" i="5"/>
  <c r="G117" i="5"/>
  <c r="G101" i="5"/>
  <c r="G76" i="5"/>
  <c r="G71" i="5"/>
  <c r="G27" i="5"/>
  <c r="G114" i="5"/>
  <c r="G68" i="5"/>
  <c r="G44" i="5"/>
  <c r="G87" i="5"/>
  <c r="G77" i="5"/>
  <c r="G98" i="5"/>
  <c r="G54" i="5"/>
  <c r="G125" i="5"/>
  <c r="G56" i="5"/>
  <c r="G13" i="5"/>
  <c r="G20" i="5"/>
  <c r="G25" i="5"/>
  <c r="G115" i="5"/>
  <c r="G34" i="5"/>
  <c r="G69" i="5"/>
  <c r="K94" i="5"/>
  <c r="K14" i="5"/>
  <c r="K122" i="5"/>
  <c r="K126" i="5"/>
  <c r="K125" i="5"/>
  <c r="K117" i="5"/>
  <c r="K99" i="5"/>
  <c r="K76" i="5"/>
  <c r="K58" i="5"/>
  <c r="K114" i="5"/>
  <c r="K23" i="5"/>
  <c r="K92" i="5"/>
  <c r="K87" i="5"/>
  <c r="K39" i="5"/>
  <c r="K71" i="5"/>
  <c r="K46" i="5"/>
  <c r="K69" i="5"/>
  <c r="K121" i="5"/>
  <c r="K61" i="5"/>
  <c r="K9" i="5"/>
  <c r="K56" i="5"/>
  <c r="K18" i="5"/>
  <c r="K98" i="5"/>
  <c r="K104" i="5"/>
  <c r="K82" i="5"/>
  <c r="K68" i="5"/>
  <c r="K110" i="5"/>
  <c r="K54" i="5"/>
  <c r="K45" i="5"/>
  <c r="K100" i="5"/>
  <c r="K97" i="5"/>
  <c r="K34" i="5"/>
  <c r="K11" i="5"/>
  <c r="K102" i="5"/>
  <c r="K48" i="5"/>
  <c r="K15" i="5"/>
  <c r="K16" i="5"/>
  <c r="K74" i="5"/>
  <c r="K80" i="5"/>
  <c r="K109" i="5"/>
  <c r="K95" i="5"/>
  <c r="K115" i="5"/>
  <c r="K7" i="5"/>
  <c r="K105" i="5"/>
  <c r="K49" i="5"/>
  <c r="K37" i="5"/>
  <c r="K123" i="5"/>
  <c r="K89" i="5"/>
  <c r="K12" i="5"/>
  <c r="K31" i="5"/>
  <c r="K43" i="5"/>
  <c r="K38" i="5"/>
  <c r="K29" i="5"/>
  <c r="K70" i="5"/>
  <c r="K33" i="5"/>
  <c r="K26" i="5"/>
  <c r="K13" i="5"/>
  <c r="K27" i="5"/>
  <c r="K62" i="5"/>
  <c r="K67" i="5"/>
  <c r="K57" i="5"/>
  <c r="K79" i="5"/>
  <c r="K84" i="5"/>
  <c r="K59" i="5"/>
  <c r="K6" i="5"/>
  <c r="K78" i="5"/>
  <c r="K63" i="5"/>
  <c r="K10" i="5"/>
  <c r="K91" i="5"/>
  <c r="K66" i="5"/>
  <c r="K32" i="5"/>
  <c r="K52" i="5"/>
  <c r="K40" i="5"/>
  <c r="K60" i="5"/>
  <c r="K65" i="5"/>
  <c r="K42" i="5"/>
  <c r="K17" i="5"/>
  <c r="K53" i="5"/>
  <c r="K36" i="5"/>
  <c r="K21" i="5"/>
  <c r="K19" i="5"/>
  <c r="K75" i="5"/>
  <c r="K118" i="5"/>
  <c r="K51" i="5"/>
  <c r="K81" i="5"/>
  <c r="K28" i="5"/>
  <c r="K96" i="5"/>
  <c r="K86" i="5"/>
  <c r="K120" i="5"/>
  <c r="K107" i="5"/>
  <c r="K119" i="5"/>
  <c r="K44" i="5"/>
  <c r="K101" i="5"/>
  <c r="K77" i="5"/>
  <c r="K35" i="5"/>
  <c r="K50" i="5"/>
  <c r="K113" i="5"/>
  <c r="K88" i="5"/>
  <c r="K41" i="5"/>
  <c r="K25" i="5"/>
  <c r="K24" i="5"/>
  <c r="K90" i="5"/>
  <c r="K73" i="5"/>
  <c r="K47" i="5"/>
  <c r="K112" i="5"/>
  <c r="K72" i="5"/>
  <c r="K30" i="5"/>
  <c r="K8" i="5"/>
  <c r="K83" i="5"/>
  <c r="K85" i="5"/>
  <c r="K64" i="5"/>
  <c r="K20" i="5"/>
  <c r="K55" i="5"/>
  <c r="K116" i="5"/>
  <c r="K103" i="5"/>
  <c r="K124" i="5"/>
  <c r="K111" i="5"/>
  <c r="K108" i="5"/>
  <c r="K106" i="5"/>
  <c r="K93" i="5"/>
  <c r="K22" i="5"/>
  <c r="E4" i="3" l="1"/>
  <c r="F3" i="3"/>
  <c r="E5" i="3"/>
  <c r="F5" i="3" s="1"/>
  <c r="H126" i="5"/>
  <c r="H116" i="5"/>
  <c r="H125" i="5"/>
  <c r="H118" i="5"/>
  <c r="H117" i="5"/>
  <c r="H122" i="5"/>
  <c r="H123" i="5"/>
  <c r="H124" i="5"/>
  <c r="H119" i="5"/>
  <c r="H121" i="5"/>
  <c r="H120" i="5"/>
  <c r="H102" i="5"/>
  <c r="H109" i="5"/>
  <c r="H82" i="5"/>
  <c r="H97" i="5"/>
  <c r="H83" i="5"/>
  <c r="H111" i="5"/>
  <c r="H105" i="5"/>
  <c r="H81" i="5"/>
  <c r="H87" i="5"/>
  <c r="H92" i="5"/>
  <c r="H115" i="5"/>
  <c r="H101" i="5"/>
  <c r="H79" i="5"/>
  <c r="H84" i="5"/>
  <c r="H110" i="5"/>
  <c r="H103" i="5"/>
  <c r="H98" i="5"/>
  <c r="H71" i="5"/>
  <c r="H113" i="5"/>
  <c r="H107" i="5"/>
  <c r="H72" i="5"/>
  <c r="H85" i="5"/>
  <c r="H90" i="5"/>
  <c r="H95" i="5"/>
  <c r="H38" i="5"/>
  <c r="H93" i="5"/>
  <c r="H78" i="5"/>
  <c r="H77" i="5"/>
  <c r="H76" i="5"/>
  <c r="H75" i="5"/>
  <c r="H99" i="5"/>
  <c r="H80" i="5"/>
  <c r="H94" i="5"/>
  <c r="H104" i="5"/>
  <c r="H91" i="5"/>
  <c r="H74" i="5"/>
  <c r="H106" i="5"/>
  <c r="H70" i="5"/>
  <c r="H96" i="5"/>
  <c r="H114" i="5"/>
  <c r="H112" i="5"/>
  <c r="H86" i="5"/>
  <c r="H108" i="5"/>
  <c r="H100" i="5"/>
  <c r="H73" i="5"/>
  <c r="H89" i="5"/>
  <c r="H88" i="5"/>
  <c r="H47" i="5"/>
  <c r="H52" i="5"/>
  <c r="H19" i="5"/>
  <c r="H40" i="5"/>
  <c r="H23" i="5"/>
  <c r="H25" i="5"/>
  <c r="H53" i="5"/>
  <c r="H24" i="5"/>
  <c r="H56" i="5"/>
  <c r="H59" i="5"/>
  <c r="H55" i="5"/>
  <c r="H30" i="5"/>
  <c r="H49" i="5"/>
  <c r="H66" i="5"/>
  <c r="H21" i="5"/>
  <c r="H20" i="5"/>
  <c r="H27" i="5"/>
  <c r="H22" i="5"/>
  <c r="H64" i="5"/>
  <c r="H37" i="5"/>
  <c r="H34" i="5"/>
  <c r="H29" i="5"/>
  <c r="H46" i="5"/>
  <c r="H17" i="5"/>
  <c r="H61" i="5"/>
  <c r="H62" i="5"/>
  <c r="H51" i="5"/>
  <c r="H57" i="5"/>
  <c r="H10" i="5"/>
  <c r="H43" i="5"/>
  <c r="H42" i="5"/>
  <c r="H69" i="5"/>
  <c r="H50" i="5"/>
  <c r="H12" i="5"/>
  <c r="H39" i="5"/>
  <c r="H31" i="5"/>
  <c r="H32" i="5"/>
  <c r="H16" i="5"/>
  <c r="H54" i="5"/>
  <c r="H44" i="5"/>
  <c r="H48" i="5"/>
  <c r="H18" i="5"/>
  <c r="H33" i="5"/>
  <c r="H60" i="5"/>
  <c r="H65" i="5"/>
  <c r="H63" i="5"/>
  <c r="H8" i="5"/>
  <c r="H45" i="5"/>
  <c r="H13" i="5"/>
  <c r="H58" i="5"/>
  <c r="H28" i="5"/>
  <c r="H36" i="5"/>
  <c r="H67" i="5"/>
  <c r="H15" i="5"/>
  <c r="H41" i="5"/>
  <c r="H68" i="5"/>
  <c r="H11" i="5"/>
  <c r="H7" i="5"/>
  <c r="H14" i="5"/>
  <c r="H6" i="5"/>
  <c r="H26" i="5"/>
  <c r="H9" i="5"/>
  <c r="H35" i="5"/>
  <c r="F4" i="3" l="1"/>
  <c r="E6" i="3"/>
  <c r="F6" i="3" s="1"/>
  <c r="E8" i="3"/>
  <c r="F8" i="3" s="1"/>
  <c r="E7" i="3"/>
  <c r="F7" i="3" s="1"/>
</calcChain>
</file>

<file path=xl/sharedStrings.xml><?xml version="1.0" encoding="utf-8"?>
<sst xmlns="http://schemas.openxmlformats.org/spreadsheetml/2006/main" count="593" uniqueCount="118">
  <si>
    <t>TL</t>
  </si>
  <si>
    <t>GM</t>
  </si>
  <si>
    <t>GERÇEK YAŞ</t>
  </si>
  <si>
    <t>18-39 YAŞ ARASI</t>
  </si>
  <si>
    <t>ORTALAMA YAŞ</t>
  </si>
  <si>
    <t>40 - 50 YAŞ</t>
  </si>
  <si>
    <t>CSO2001</t>
  </si>
  <si>
    <t>51-69 yaş</t>
  </si>
  <si>
    <t>MAX. 74 YAŞ</t>
  </si>
  <si>
    <t>7_1</t>
  </si>
  <si>
    <t>9_1</t>
  </si>
  <si>
    <t>255_1</t>
  </si>
  <si>
    <t>tarife_no</t>
  </si>
  <si>
    <t>para_birimi</t>
  </si>
  <si>
    <t>m_k</t>
  </si>
  <si>
    <t>mortalite_tablosu</t>
  </si>
  <si>
    <t>tfo</t>
  </si>
  <si>
    <t>uretim_masrafi_orani</t>
  </si>
  <si>
    <t>gider_payi_orani</t>
  </si>
  <si>
    <t>yas_turu</t>
  </si>
  <si>
    <t>odenen_komisyon</t>
  </si>
  <si>
    <t>sure</t>
  </si>
  <si>
    <t>aciklama_1</t>
  </si>
  <si>
    <t>ortalama_yaslar</t>
  </si>
  <si>
    <t>Peşin</t>
  </si>
  <si>
    <t>Teknik Faiz</t>
  </si>
  <si>
    <t>Yaş</t>
  </si>
  <si>
    <t>odeme_turu</t>
  </si>
  <si>
    <t>sure(ay)</t>
  </si>
  <si>
    <t>vefat_teminat</t>
  </si>
  <si>
    <t>iptal_tarihi</t>
  </si>
  <si>
    <t>yas_kurali</t>
  </si>
  <si>
    <t>kuralli</t>
  </si>
  <si>
    <t>police_bitis_tarihi</t>
  </si>
  <si>
    <t>police_baslangic_tarihi</t>
  </si>
  <si>
    <t>dogum_tarihi</t>
  </si>
  <si>
    <t>teknik_faiz</t>
  </si>
  <si>
    <t>yas</t>
  </si>
  <si>
    <t>uretim_masrafi</t>
  </si>
  <si>
    <t>gider_payi</t>
  </si>
  <si>
    <t>Tablo</t>
  </si>
  <si>
    <t>TRHA2010KARMA</t>
  </si>
  <si>
    <t xml:space="preserve"> </t>
  </si>
  <si>
    <r>
      <t>q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</si>
  <si>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p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</si>
  <si>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l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</si>
  <si>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</si>
  <si>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</si>
  <si>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N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</si>
  <si>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S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</si>
  <si>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</si>
  <si>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M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</si>
  <si>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R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</si>
  <si>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  <r>
      <rPr>
        <b/>
        <sz val="12"/>
        <color theme="3"/>
        <rFont val="Calibri"/>
        <family val="2"/>
        <charset val="162"/>
        <scheme val="minor"/>
      </rPr>
      <t>/D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</si>
  <si>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t>CSO1953KARMA</t>
  </si>
  <si>
    <t>CSO1980ERKEK</t>
  </si>
  <si>
    <t>CSO1980KADIN</t>
  </si>
  <si>
    <t>CSO1980KARMA</t>
  </si>
  <si>
    <t>CSO2001ERKEK</t>
  </si>
  <si>
    <t>CSO2001KADIN</t>
  </si>
  <si>
    <t>CSO2001KARMA</t>
  </si>
  <si>
    <t>TRH2010ERKEK</t>
  </si>
  <si>
    <t>TRH2010KADIN</t>
  </si>
  <si>
    <t>TRH2010KARMA</t>
  </si>
  <si>
    <t>TRSH2010ERKEK</t>
  </si>
  <si>
    <t>TRSH2010KADIN</t>
  </si>
  <si>
    <t>TRSH2010KARMA</t>
  </si>
  <si>
    <t>TRHA2010ERKEK</t>
  </si>
  <si>
    <t>TRHA2010KADIN</t>
  </si>
  <si>
    <t>GATT1983KARMA</t>
  </si>
  <si>
    <t>YAŞ</t>
  </si>
  <si>
    <r>
      <t>q</t>
    </r>
    <r>
      <rPr>
        <b/>
        <vertAlign val="subscript"/>
        <sz val="12"/>
        <color theme="3"/>
        <rFont val="Arial Tur"/>
        <charset val="162"/>
      </rPr>
      <t>x</t>
    </r>
  </si>
  <si>
    <t>mortalite_tablo_turu</t>
  </si>
  <si>
    <t>karma</t>
  </si>
  <si>
    <t>gun_1</t>
  </si>
  <si>
    <t>gun_2</t>
  </si>
  <si>
    <t>123_1</t>
  </si>
  <si>
    <t>137_1</t>
  </si>
  <si>
    <t>140_1</t>
  </si>
  <si>
    <t>CSO1980</t>
  </si>
  <si>
    <t>tarife_parametreleri</t>
  </si>
  <si>
    <t>sonuc</t>
  </si>
  <si>
    <t>safi_prim</t>
  </si>
  <si>
    <t>tarife_primi</t>
  </si>
  <si>
    <t>iade_tutari</t>
  </si>
  <si>
    <t>parametreler</t>
  </si>
  <si>
    <t>Kontrol 1</t>
  </si>
  <si>
    <t>Kontrol 2</t>
  </si>
  <si>
    <t>zeyil_no</t>
  </si>
  <si>
    <t>P</t>
  </si>
  <si>
    <t>GRP</t>
  </si>
  <si>
    <t>POL</t>
  </si>
  <si>
    <t>DOGTAR</t>
  </si>
  <si>
    <t>BASTAR</t>
  </si>
  <si>
    <t>SURE</t>
  </si>
  <si>
    <t>KREDI_TUTARI</t>
  </si>
  <si>
    <t>KREDI_FAIZ_ORANI</t>
  </si>
  <si>
    <t>KKDF</t>
  </si>
  <si>
    <t>BSMV</t>
  </si>
  <si>
    <t>PESIN_YILLIK</t>
  </si>
  <si>
    <t>AMK</t>
  </si>
  <si>
    <t>HESAPLANAN</t>
  </si>
  <si>
    <t>HATA AÇIKLAMASI</t>
  </si>
  <si>
    <t>Uyarılar</t>
  </si>
  <si>
    <t>Sevdiklerim İçin Mi?</t>
  </si>
  <si>
    <t>Seviklerim mi?</t>
  </si>
  <si>
    <t>H</t>
  </si>
  <si>
    <t>tediye_primi</t>
  </si>
  <si>
    <t>1_yil</t>
  </si>
  <si>
    <t>[1,11]_ay</t>
  </si>
  <si>
    <t>KKTC</t>
  </si>
  <si>
    <t>70-75 yaş</t>
  </si>
  <si>
    <t xml:space="preserve">18-39 YAŞ </t>
  </si>
  <si>
    <t>18-39 YAŞ</t>
  </si>
  <si>
    <t>PRIM</t>
  </si>
  <si>
    <t>GİDER PAYI</t>
  </si>
  <si>
    <t>ÜRETİM MASRAFI</t>
  </si>
  <si>
    <t>SAFİ PRİM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</si>
</sst>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(* #,##0.00_);_(* \(#,##0.00\);_(* &quot;-&quot;??_);_(@_)"/>
    <numFmt numFmtId="165" formatCode="0.00000"/>
    <numFmt numFmtId="166" formatCode="0.000000_)"/>
    <numFmt numFmtId="167" formatCode="#,##0.0000"/>
    <numFmt numFmtId="168" formatCode="#,##0.0000000"/>
    <numFmt numFmtId="169" formatCode="0.0000000"/>
    <numFmt numFmtId="170" formatCode="0.0%"/>
    <numFmt numFmtId="171" formatCode="_-* #,##0.0000\ _₺_-;\-* #,##0.0000\ _₺_-;_-* &quot;-&quot;??\ _₺_-;_-@_-"/>
  </numFmts>
  <fonts count="2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0" tint="-4.9989318521683403E-2"/>
      <name val="Calibri"/>
      <family val="2"/>
      <charset val="162"/>
      <scheme val="minor"/>
    </font>
    <font>
      <b/>
      <sz val="11"/>
      <color rgb="FF00206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color theme="1"/>
      <name val="Arial"/>
      <family val="2"/>
      <charset val="162"/>
    </font>
    <font>
      <b/>
      <sz val="11"/>
      <color rgb="FF000000"/>
      <name val="Calibri"/>
      <family val="2"/>
      <charset val="162"/>
    </font>
    <font>
      <sz val="11"/>
      <color rgb="FFFF0000"/>
      <name val="Calibri"/>
      <family val="2"/>
      <charset val="162"/>
    </font>
    <font>
      <sz val="10"/>
      <color rgb="FF000000"/>
      <name val="Arial"/>
      <family val="2"/>
      <charset val="162"/>
    </font>
    <font>
      <b/>
      <sz val="12"/>
      <color theme="3"/>
      <name val="Calibri"/>
      <family val="2"/>
      <charset val="162"/>
      <scheme val="minor"/>
    </font>
    <font>
      <b/>
      <vertAlign val="subscript"/>
      <sz val="12"/>
      <color theme="3"/>
      <name val="Calibri"/>
      <family val="2"/>
      <charset val="162"/>
      <scheme val="minor"/>
    </font>
    <font>
      <sz val="10"/>
      <name val="Arial Tur"/>
      <charset val="162"/>
    </font>
    <font>
      <b/>
      <sz val="12"/>
      <color theme="3"/>
      <name val="Arial Tur"/>
      <family val="2"/>
      <charset val="162"/>
    </font>
    <font>
      <b/>
      <vertAlign val="subscript"/>
      <sz val="12"/>
      <color theme="3"/>
      <name val="Arial Tur"/>
      <charset val="162"/>
    </font>
    <font>
      <sz val="11"/>
      <color theme="3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</font>
    <font>
      <b/>
      <sz val="10"/>
      <color rgb="FFFF0000"/>
      <name val="Arial"/>
      <family val="2"/>
    </font>
    <font>
      <b/>
      <sz val="11"/>
      <color rgb="FFFF0000"/>
      <name val="Calibri"/>
      <family val="2"/>
      <charset val="162"/>
      <scheme val="minor"/>
    </font>
    <font>
      <sz val="10"/>
      <color rgb="FF002060"/>
      <name val="Verdana"/>
      <family val="2"/>
      <charset val="16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double">
        <color auto="1"/>
      </bottom>
      <diagonal/>
    </border>
    <border>
      <left/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theme="0"/>
      </right>
      <top/>
      <bottom/>
      <diagonal/>
    </border>
  </borders>
  <cellStyleXfs count="9">
    <xf numFmtId="0" fontId="0" fillId="0" borderId="0"/>
    <xf numFmtId="49" fontId="2" fillId="3" borderId="1">
      <alignment horizontal="left" vertical="center"/>
    </xf>
    <xf numFmtId="3" fontId="1" fillId="0" borderId="0"/>
    <xf numFmtId="0" fontId="1" fillId="2" borderId="2" applyAlignment="0" applyProtection="0"/>
    <xf numFmtId="49" fontId="3" fillId="4" borderId="3">
      <alignment horizontal="left" vertical="center"/>
    </xf>
    <xf numFmtId="49" fontId="3" fillId="4" borderId="2">
      <alignment horizontal="left" vertical="center"/>
    </xf>
    <xf numFmtId="9" fontId="1" fillId="0" borderId="0" applyFont="0" applyFill="0" applyBorder="0" applyAlignment="0" applyProtection="0"/>
    <xf numFmtId="0" fontId="14" fillId="0" borderId="0"/>
    <xf numFmtId="164" fontId="1" fillId="0" borderId="0" applyFont="0" applyFill="0" applyBorder="0" applyAlignment="0" applyProtection="0"/>
  </cellStyleXfs>
  <cellXfs count="69">
    <xf numFmtId="0" fontId="0" fillId="0" borderId="0" xfId="0"/>
    <xf numFmtId="0" fontId="4" fillId="0" borderId="0" xfId="0" applyFont="1" applyAlignment="1">
      <alignment horizontal="center"/>
    </xf>
    <xf numFmtId="0" fontId="0" fillId="0" borderId="0" xfId="0" applyFill="1" applyBorder="1"/>
    <xf numFmtId="49" fontId="3" fillId="4" borderId="3" xfId="4">
      <alignment horizontal="left" vertical="center"/>
    </xf>
    <xf numFmtId="1" fontId="8" fillId="0" borderId="0" xfId="0" applyNumberFormat="1" applyFont="1" applyFill="1" applyProtection="1"/>
    <xf numFmtId="0" fontId="6" fillId="0" borderId="0" xfId="0" applyFont="1" applyFill="1" applyBorder="1" applyAlignment="1" applyProtection="1">
      <alignment horizontal="right"/>
    </xf>
    <xf numFmtId="0" fontId="6" fillId="0" borderId="0" xfId="0" applyFont="1" applyFill="1" applyBorder="1" applyProtection="1"/>
    <xf numFmtId="4" fontId="6" fillId="0" borderId="0" xfId="0" applyNumberFormat="1" applyFont="1" applyFill="1" applyBorder="1" applyProtection="1"/>
    <xf numFmtId="165" fontId="11" fillId="0" borderId="0" xfId="0" applyNumberFormat="1" applyFont="1" applyFill="1" applyBorder="1" applyProtection="1"/>
    <xf numFmtId="2" fontId="6" fillId="0" borderId="0" xfId="0" applyNumberFormat="1" applyFont="1" applyFill="1" applyBorder="1" applyProtection="1"/>
    <xf numFmtId="0" fontId="10" fillId="0" borderId="0" xfId="0" applyFont="1" applyFill="1" applyBorder="1"/>
    <xf numFmtId="4" fontId="9" fillId="0" borderId="0" xfId="0" applyNumberFormat="1" applyFont="1" applyFill="1" applyBorder="1" applyProtection="1"/>
    <xf numFmtId="49" fontId="3" fillId="4" borderId="2" xfId="5">
      <alignment horizontal="left" vertical="center"/>
    </xf>
    <xf numFmtId="0" fontId="12" fillId="5" borderId="4" xfId="0" applyFont="1" applyFill="1" applyBorder="1" applyAlignment="1" applyProtection="1">
      <alignment horizontal="center"/>
    </xf>
    <xf numFmtId="0" fontId="12" fillId="5" borderId="5" xfId="0" applyFont="1" applyFill="1" applyBorder="1" applyAlignment="1" applyProtection="1">
      <alignment horizontal="center"/>
    </xf>
    <xf numFmtId="0" fontId="7" fillId="0" borderId="0" xfId="0" applyFont="1"/>
    <xf numFmtId="0" fontId="0" fillId="0" borderId="0" xfId="0" applyFont="1"/>
    <xf numFmtId="0" fontId="7" fillId="0" borderId="0" xfId="0" applyFont="1" applyAlignment="1">
      <alignment horizontal="center"/>
    </xf>
    <xf numFmtId="0" fontId="4" fillId="0" borderId="0" xfId="0" applyFont="1" applyFill="1" applyAlignment="1" applyProtection="1">
      <alignment horizontal="center"/>
    </xf>
    <xf numFmtId="0" fontId="12" fillId="5" borderId="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166" fontId="0" fillId="0" borderId="0" xfId="0" applyNumberFormat="1" applyFont="1" applyBorder="1" applyAlignment="1" applyProtection="1">
      <alignment horizontal="center"/>
    </xf>
    <xf numFmtId="167" fontId="0" fillId="0" borderId="0" xfId="0" applyNumberFormat="1" applyFont="1" applyBorder="1" applyAlignment="1" applyProtection="1">
      <alignment horizontal="right"/>
    </xf>
    <xf numFmtId="4" fontId="0" fillId="0" borderId="0" xfId="0" applyNumberFormat="1" applyFont="1" applyBorder="1" applyProtection="1"/>
    <xf numFmtId="168" fontId="0" fillId="0" borderId="0" xfId="0" applyNumberFormat="1" applyFont="1" applyBorder="1"/>
    <xf numFmtId="2" fontId="0" fillId="0" borderId="0" xfId="0" applyNumberFormat="1" applyFont="1"/>
    <xf numFmtId="0" fontId="0" fillId="0" borderId="0" xfId="0" applyBorder="1"/>
    <xf numFmtId="0" fontId="12" fillId="6" borderId="7" xfId="0" applyFont="1" applyFill="1" applyBorder="1"/>
    <xf numFmtId="0" fontId="15" fillId="6" borderId="7" xfId="7" applyFont="1" applyFill="1" applyBorder="1" applyAlignment="1" applyProtection="1">
      <alignment horizontal="center"/>
    </xf>
    <xf numFmtId="169" fontId="0" fillId="0" borderId="0" xfId="0" applyNumberFormat="1" applyBorder="1"/>
    <xf numFmtId="0" fontId="0" fillId="0" borderId="0" xfId="0" applyAlignment="1">
      <alignment horizontal="right"/>
    </xf>
    <xf numFmtId="170" fontId="6" fillId="0" borderId="0" xfId="6" applyNumberFormat="1" applyFont="1" applyFill="1" applyBorder="1" applyAlignment="1" applyProtection="1">
      <alignment horizontal="right"/>
    </xf>
    <xf numFmtId="10" fontId="6" fillId="0" borderId="0" xfId="0" applyNumberFormat="1" applyFont="1" applyFill="1" applyBorder="1" applyAlignment="1" applyProtection="1">
      <alignment horizontal="right"/>
    </xf>
    <xf numFmtId="0" fontId="5" fillId="5" borderId="8" xfId="0" applyFont="1" applyFill="1" applyBorder="1"/>
    <xf numFmtId="2" fontId="17" fillId="0" borderId="0" xfId="0" applyNumberFormat="1" applyFont="1"/>
    <xf numFmtId="14" fontId="6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22" fontId="0" fillId="0" borderId="0" xfId="0" applyNumberFormat="1"/>
    <xf numFmtId="14" fontId="0" fillId="0" borderId="0" xfId="0" applyNumberFormat="1"/>
    <xf numFmtId="0" fontId="18" fillId="5" borderId="11" xfId="0" applyFont="1" applyFill="1" applyBorder="1" applyAlignment="1"/>
    <xf numFmtId="0" fontId="5" fillId="5" borderId="0" xfId="0" applyFont="1" applyFill="1" applyBorder="1"/>
    <xf numFmtId="2" fontId="0" fillId="0" borderId="0" xfId="0" applyNumberFormat="1"/>
    <xf numFmtId="169" fontId="6" fillId="0" borderId="0" xfId="0" applyNumberFormat="1" applyFont="1" applyFill="1" applyBorder="1" applyProtection="1"/>
    <xf numFmtId="0" fontId="19" fillId="0" borderId="0" xfId="0" applyFont="1" applyFill="1" applyBorder="1" applyAlignment="1" applyProtection="1">
      <alignment horizontal="center"/>
      <protection locked="0"/>
    </xf>
    <xf numFmtId="14" fontId="19" fillId="0" borderId="0" xfId="0" applyNumberFormat="1" applyFont="1" applyFill="1" applyBorder="1" applyAlignment="1" applyProtection="1">
      <alignment horizontal="center"/>
      <protection locked="0"/>
    </xf>
    <xf numFmtId="4" fontId="20" fillId="0" borderId="0" xfId="0" applyNumberFormat="1" applyFont="1" applyFill="1" applyBorder="1" applyAlignment="1" applyProtection="1">
      <alignment horizontal="center"/>
      <protection locked="0"/>
    </xf>
    <xf numFmtId="49" fontId="3" fillId="4" borderId="12" xfId="4" applyBorder="1">
      <alignment horizontal="left" vertical="center"/>
    </xf>
    <xf numFmtId="0" fontId="0" fillId="8" borderId="0" xfId="0" applyFill="1"/>
    <xf numFmtId="0" fontId="0" fillId="9" borderId="0" xfId="0" applyFill="1"/>
    <xf numFmtId="4" fontId="0" fillId="0" borderId="0" xfId="0" applyNumberFormat="1"/>
    <xf numFmtId="164" fontId="0" fillId="0" borderId="0" xfId="8" applyFont="1"/>
    <xf numFmtId="0" fontId="21" fillId="7" borderId="0" xfId="0" applyFont="1" applyFill="1"/>
    <xf numFmtId="171" fontId="21" fillId="7" borderId="0" xfId="8" applyNumberFormat="1" applyFont="1" applyFill="1"/>
    <xf numFmtId="10" fontId="21" fillId="7" borderId="0" xfId="6" applyNumberFormat="1" applyFont="1" applyFill="1"/>
    <xf numFmtId="0" fontId="0" fillId="0" borderId="0" xfId="0" applyFill="1"/>
    <xf numFmtId="171" fontId="0" fillId="0" borderId="0" xfId="8" applyNumberFormat="1" applyFont="1" applyFill="1"/>
    <xf numFmtId="10" fontId="0" fillId="0" borderId="0" xfId="6" applyNumberFormat="1" applyFont="1" applyFill="1"/>
    <xf numFmtId="0" fontId="18" fillId="7" borderId="0" xfId="0" applyFont="1" applyFill="1"/>
    <xf numFmtId="171" fontId="18" fillId="7" borderId="0" xfId="8" applyNumberFormat="1" applyFont="1" applyFill="1"/>
    <xf numFmtId="10" fontId="18" fillId="7" borderId="0" xfId="6" applyNumberFormat="1" applyFont="1" applyFill="1"/>
    <xf numFmtId="0" fontId="18" fillId="7" borderId="0" xfId="0" applyFont="1" applyFill="1" applyAlignment="1">
      <alignment horizontal="left"/>
    </xf>
    <xf numFmtId="0" fontId="0" fillId="0" borderId="0" xfId="0" applyAlignment="1">
      <alignment horizontal="left"/>
    </xf>
    <xf numFmtId="49" fontId="3" fillId="4" borderId="3" xfId="4" applyAlignment="1">
      <alignment horizontal="left" vertical="center"/>
    </xf>
    <xf numFmtId="0" fontId="0" fillId="0" borderId="0" xfId="0" applyFill="1" applyAlignment="1">
      <alignment horizontal="left"/>
    </xf>
    <xf numFmtId="0" fontId="21" fillId="7" borderId="0" xfId="0" applyFont="1" applyFill="1" applyAlignment="1">
      <alignment horizontal="left"/>
    </xf>
    <xf numFmtId="0" fontId="22" fillId="0" borderId="0" xfId="0" applyFont="1" applyAlignment="1">
      <alignment vertical="center"/>
    </xf>
    <xf numFmtId="49" fontId="2" fillId="3" borderId="9" xfId="1" applyBorder="1" applyAlignment="1">
      <alignment horizontal="center" vertical="center"/>
    </xf>
    <xf numFmtId="49" fontId="2" fillId="3" borderId="10" xfId="1" applyBorder="1" applyAlignment="1">
      <alignment horizontal="center" vertical="center"/>
    </xf>
  </cellXfs>
  <cellStyles count="9">
    <cellStyle name="En Üst Başlık" xfId="1"/>
    <cellStyle name="Normal" xfId="0" builtinId="0"/>
    <cellStyle name="Normal 2" xfId="7"/>
    <cellStyle name="Ondalıksız Sayı" xfId="2"/>
    <cellStyle name="Sonuç" xfId="3"/>
    <cellStyle name="Üst Başlık" xfId="4"/>
    <cellStyle name="Virgül" xfId="8" builtinId="3"/>
    <cellStyle name="Yan Başlık" xfId="5"/>
    <cellStyle name="Yüzde" xfId="6" builtinId="5"/>
  </cellStyles>
  <dxfs count="1"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M44"/>
  <sheetViews>
    <sheetView workbookViewId="0">
      <selection activeCell="B3" sqref="B3"/>
    </sheetView>
  </sheetViews>
  <sheetFormatPr defaultRowHeight="15" x14ac:dyDescent="0.25"/>
  <cols>
    <col min="1" max="1" width="20.28515625" bestFit="1" customWidth="1"/>
    <col min="2" max="3" width="13.85546875" bestFit="1" customWidth="1"/>
    <col min="4" max="4" width="19.28515625" bestFit="1" customWidth="1"/>
    <col min="5" max="5" width="9.140625" bestFit="1" customWidth="1"/>
    <col min="6" max="6" width="12.7109375" bestFit="1" customWidth="1"/>
    <col min="7" max="7" width="9.85546875" bestFit="1" customWidth="1"/>
    <col min="8" max="8" width="10.140625" bestFit="1" customWidth="1"/>
    <col min="13" max="13" width="12.140625" bestFit="1" customWidth="1"/>
  </cols>
  <sheetData>
    <row r="1" spans="1:13" x14ac:dyDescent="0.25">
      <c r="A1" s="67" t="s">
        <v>85</v>
      </c>
      <c r="B1" s="68"/>
      <c r="D1" s="67" t="s">
        <v>81</v>
      </c>
      <c r="E1" s="68"/>
    </row>
    <row r="2" spans="1:13" ht="15.75" thickBot="1" x14ac:dyDescent="0.3">
      <c r="A2" s="33" t="s">
        <v>12</v>
      </c>
      <c r="B2" s="44">
        <v>1850</v>
      </c>
      <c r="C2" s="5"/>
      <c r="D2" s="3"/>
      <c r="E2" s="3" t="s">
        <v>24</v>
      </c>
      <c r="F2" s="11"/>
    </row>
    <row r="3" spans="1:13" ht="15.75" thickTop="1" x14ac:dyDescent="0.25">
      <c r="A3" s="33" t="s">
        <v>27</v>
      </c>
      <c r="B3" s="44" t="s">
        <v>24</v>
      </c>
      <c r="C3" s="6"/>
      <c r="D3" s="33" t="s">
        <v>82</v>
      </c>
      <c r="E3" s="11" t="e">
        <f>IF(sure=12,vefat_teminat*(VLOOKUP(yas,tablo_komutasyon,10,FALSE)-VLOOKUP(yas+1,tablo_komutasyon,10,FALSE))/VLOOKUP(yas,tablo_komutasyon,6,FALSE),ROUND(vefat_teminat*sure/12*(VLOOKUP(yas,tablo_komutasyon,10,FALSE)-VLOOKUP(yas+1,tablo_komutasyon,10,FALSE))/VLOOKUP(yas,tablo_komutasyon,6,FALSE),2))</f>
        <v>#N/A</v>
      </c>
      <c r="F3" s="11" t="e">
        <f>E3/12</f>
        <v>#N/A</v>
      </c>
    </row>
    <row r="4" spans="1:13" x14ac:dyDescent="0.25">
      <c r="A4" s="33" t="s">
        <v>34</v>
      </c>
      <c r="B4" s="45">
        <v>43215</v>
      </c>
      <c r="C4" s="5"/>
      <c r="D4" s="33" t="s">
        <v>83</v>
      </c>
      <c r="E4" s="11" t="e">
        <f>IF(B26="E",ROUND(E3/(1-gpo-umo),2),IF(AND(sure=12,B19="ORTALAMA YAŞ"),ROUND(vefat_teminat*ROUND((VLOOKUP(yas,tablo_komutasyon,10,FALSE)-VLOOKUP(yas+1,tablo_komutasyon,10,FALSE))/(VLOOKUP(yas,tablo_komutasyon,6,FALSE)*(1-umo-gpo)),4),2),ROUND(E3/(1-gpo-umo),2)))</f>
        <v>#N/A</v>
      </c>
      <c r="F4" s="11" t="e">
        <f>E4/12</f>
        <v>#N/A</v>
      </c>
      <c r="L4" s="50"/>
      <c r="M4" s="51"/>
    </row>
    <row r="5" spans="1:13" x14ac:dyDescent="0.25">
      <c r="A5" s="33" t="s">
        <v>35</v>
      </c>
      <c r="B5" s="45">
        <v>36380</v>
      </c>
      <c r="C5" s="6"/>
      <c r="D5" s="33" t="s">
        <v>107</v>
      </c>
      <c r="E5" s="11" t="e">
        <f>ROUND((E3/12)/(1-umo-gpo),2)</f>
        <v>#N/A</v>
      </c>
      <c r="F5" s="11" t="e">
        <f t="shared" ref="F5:F8" si="0">E5/12</f>
        <v>#N/A</v>
      </c>
      <c r="H5" s="6"/>
    </row>
    <row r="6" spans="1:13" x14ac:dyDescent="0.25">
      <c r="A6" s="33" t="s">
        <v>28</v>
      </c>
      <c r="B6" s="44">
        <v>12</v>
      </c>
      <c r="C6" s="6"/>
      <c r="D6" s="33" t="s">
        <v>38</v>
      </c>
      <c r="E6" s="11" t="e">
        <f>E4*umo</f>
        <v>#N/A</v>
      </c>
      <c r="F6" s="11" t="e">
        <f t="shared" si="0"/>
        <v>#N/A</v>
      </c>
      <c r="H6" s="6"/>
    </row>
    <row r="7" spans="1:13" x14ac:dyDescent="0.25">
      <c r="A7" s="33" t="s">
        <v>29</v>
      </c>
      <c r="B7" s="46">
        <v>100000</v>
      </c>
      <c r="C7" s="6"/>
      <c r="D7" s="33" t="s">
        <v>39</v>
      </c>
      <c r="E7" s="11" t="e">
        <f>E4*gpo</f>
        <v>#N/A</v>
      </c>
      <c r="F7" s="11" t="e">
        <f t="shared" si="0"/>
        <v>#N/A</v>
      </c>
      <c r="G7" s="42"/>
      <c r="H7" s="6"/>
    </row>
    <row r="8" spans="1:13" x14ac:dyDescent="0.25">
      <c r="A8" s="33" t="s">
        <v>30</v>
      </c>
      <c r="B8" s="45">
        <v>42783</v>
      </c>
      <c r="C8" s="6"/>
      <c r="D8" s="33" t="s">
        <v>84</v>
      </c>
      <c r="E8" s="11" t="e">
        <f>ROUND(E4*B13/B12,2)</f>
        <v>#N/A</v>
      </c>
      <c r="F8" s="11" t="e">
        <f t="shared" si="0"/>
        <v>#N/A</v>
      </c>
      <c r="G8" s="9"/>
      <c r="H8" s="6"/>
    </row>
    <row r="9" spans="1:13" x14ac:dyDescent="0.25">
      <c r="A9" s="33" t="s">
        <v>33</v>
      </c>
      <c r="B9" s="35">
        <f>EDATE(B4,B6)</f>
        <v>43580</v>
      </c>
      <c r="C9" s="6"/>
      <c r="F9" s="6"/>
      <c r="G9" s="7"/>
      <c r="H9" s="6"/>
    </row>
    <row r="10" spans="1:13" x14ac:dyDescent="0.25">
      <c r="A10" s="33"/>
      <c r="B10" s="36"/>
      <c r="C10" s="8"/>
      <c r="D10" s="6"/>
      <c r="E10" s="6"/>
      <c r="F10" s="43"/>
      <c r="G10" s="6"/>
      <c r="H10" s="6"/>
    </row>
    <row r="11" spans="1:13" x14ac:dyDescent="0.25">
      <c r="A11" s="12"/>
      <c r="B11" s="37"/>
      <c r="C11" s="8"/>
      <c r="F11" s="43"/>
      <c r="G11" s="6"/>
      <c r="H11" s="6"/>
    </row>
    <row r="12" spans="1:13" x14ac:dyDescent="0.25">
      <c r="A12" s="33" t="s">
        <v>74</v>
      </c>
      <c r="B12" s="4">
        <f>B9-B4</f>
        <v>365</v>
      </c>
      <c r="C12" s="8"/>
      <c r="F12" s="6"/>
      <c r="G12" s="6"/>
      <c r="H12" s="6"/>
    </row>
    <row r="13" spans="1:13" x14ac:dyDescent="0.25">
      <c r="A13" s="33" t="s">
        <v>75</v>
      </c>
      <c r="B13" s="4">
        <f>police_bitis_tarihi-iptal_tarihi</f>
        <v>797</v>
      </c>
      <c r="C13" s="6"/>
      <c r="D13" s="6"/>
      <c r="E13" s="6"/>
      <c r="F13" s="6"/>
      <c r="G13" s="6"/>
      <c r="H13" s="6"/>
    </row>
    <row r="14" spans="1:13" x14ac:dyDescent="0.25">
      <c r="D14" s="6"/>
      <c r="E14" s="6"/>
      <c r="F14" s="6"/>
      <c r="G14" s="6"/>
      <c r="H14" s="6"/>
    </row>
    <row r="15" spans="1:13" x14ac:dyDescent="0.25">
      <c r="D15" s="6"/>
      <c r="E15" s="9"/>
      <c r="F15" s="10"/>
      <c r="G15" s="6"/>
      <c r="H15" s="6"/>
    </row>
    <row r="16" spans="1:13" x14ac:dyDescent="0.25">
      <c r="D16" s="6"/>
      <c r="E16" s="6"/>
      <c r="F16" s="10"/>
      <c r="G16" s="6"/>
      <c r="H16" s="6"/>
    </row>
    <row r="17" spans="1:8" x14ac:dyDescent="0.25">
      <c r="A17" s="67" t="s">
        <v>80</v>
      </c>
      <c r="B17" s="68"/>
      <c r="D17" s="6"/>
      <c r="E17" s="6"/>
      <c r="F17" s="6"/>
      <c r="G17" s="6"/>
      <c r="H17" s="6"/>
    </row>
    <row r="18" spans="1:8" x14ac:dyDescent="0.25">
      <c r="A18" s="33" t="s">
        <v>31</v>
      </c>
      <c r="B18" t="e">
        <f>VLOOKUP(tarife_no,tarife_parametreleri,15,FALSE)</f>
        <v>#N/A</v>
      </c>
      <c r="D18" s="6"/>
      <c r="E18" s="6"/>
      <c r="F18" s="6"/>
      <c r="G18" s="6"/>
      <c r="H18" s="6"/>
    </row>
    <row r="19" spans="1:8" x14ac:dyDescent="0.25">
      <c r="A19" s="33" t="s">
        <v>19</v>
      </c>
      <c r="B19" t="e">
        <f>VLOOKUP(tarife_no,tarife_parametreleri,10,FALSE)</f>
        <v>#N/A</v>
      </c>
      <c r="D19" s="6"/>
      <c r="E19" s="6"/>
      <c r="F19" s="6"/>
      <c r="G19" s="6"/>
      <c r="H19" s="6"/>
    </row>
    <row r="20" spans="1:8" x14ac:dyDescent="0.25">
      <c r="A20" s="33" t="s">
        <v>36</v>
      </c>
      <c r="B20" s="32" t="e">
        <f>VLOOKUP(tarife_no,tarife_parametreleri!A:Q,7,FALSE)</f>
        <v>#N/A</v>
      </c>
      <c r="C20" s="6"/>
      <c r="D20" s="6"/>
      <c r="E20" s="6"/>
      <c r="F20" s="6"/>
      <c r="G20" s="6"/>
      <c r="H20" s="6"/>
    </row>
    <row r="21" spans="1:8" x14ac:dyDescent="0.25">
      <c r="A21" s="33" t="s">
        <v>15</v>
      </c>
      <c r="B21" s="5" t="e">
        <f>VLOOKUP(tarife_no,tarife_parametreleri,5,FALSE)</f>
        <v>#N/A</v>
      </c>
      <c r="C21" s="6"/>
      <c r="D21" s="11"/>
      <c r="E21" s="7"/>
      <c r="F21" s="9"/>
      <c r="G21" s="6"/>
      <c r="H21" s="6"/>
    </row>
    <row r="22" spans="1:8" x14ac:dyDescent="0.25">
      <c r="A22" s="33" t="s">
        <v>72</v>
      </c>
      <c r="B22" s="30" t="e">
        <f>VLOOKUP(tarife_no,tarife_parametreleri,6,FALSE)</f>
        <v>#N/A</v>
      </c>
    </row>
    <row r="23" spans="1:8" x14ac:dyDescent="0.25">
      <c r="A23" s="33" t="s">
        <v>37</v>
      </c>
      <c r="B23" s="5" t="e">
        <f>IF(B18="serbest",B11,IF(B19="GERÇEK YAŞ",IF(B27&gt;B28,YEAR(B4)-YEAR(B5)+1,YEAR(B4)-YEAR(B5)),VLOOKUP(B2,tarife_parametreleri!1:1048576,MATCH(YEAR(police_baslangic_tarihi),tarife_parametreleri!$2:$2,0),FALSE)))</f>
        <v>#N/A</v>
      </c>
    </row>
    <row r="24" spans="1:8" x14ac:dyDescent="0.25">
      <c r="A24" s="33" t="s">
        <v>38</v>
      </c>
      <c r="B24" s="31" t="e">
        <f>VLOOKUP(tarife_no,tarife_parametreleri,8,FALSE)</f>
        <v>#N/A</v>
      </c>
    </row>
    <row r="25" spans="1:8" x14ac:dyDescent="0.25">
      <c r="A25" s="33" t="s">
        <v>39</v>
      </c>
      <c r="B25" s="31" t="e">
        <f>VLOOKUP(tarife_no,tarife_parametreleri,9,FALSE)</f>
        <v>#N/A</v>
      </c>
    </row>
    <row r="26" spans="1:8" x14ac:dyDescent="0.25">
      <c r="A26" s="41" t="s">
        <v>104</v>
      </c>
      <c r="B26" t="e">
        <f>VLOOKUP(tarife_no,tarife_parametreleri,16,FALSE)</f>
        <v>#N/A</v>
      </c>
    </row>
    <row r="27" spans="1:8" x14ac:dyDescent="0.25">
      <c r="A27" s="33" t="s">
        <v>86</v>
      </c>
      <c r="B27" s="34">
        <f>MONTH(police_baslangic_tarihi)*100+DAY(police_baslangic_tarihi)</f>
        <v>425</v>
      </c>
    </row>
    <row r="28" spans="1:8" x14ac:dyDescent="0.25">
      <c r="A28" s="33" t="s">
        <v>87</v>
      </c>
      <c r="B28" s="34">
        <f>MONTH(doğum_tarihi)*100+DAY(doğum_tarihi)</f>
        <v>808</v>
      </c>
    </row>
    <row r="44" spans="12:13" x14ac:dyDescent="0.25">
      <c r="L44" s="49"/>
      <c r="M44" s="49"/>
    </row>
  </sheetData>
  <mergeCells count="3">
    <mergeCell ref="D1:E1"/>
    <mergeCell ref="A1:B1"/>
    <mergeCell ref="A17:B17"/>
  </mergeCells>
  <conditionalFormatting sqref="A11:B11">
    <cfRule type="expression" dxfId="0" priority="1">
      <formula>$B$18="kuralli"</formula>
    </cfRule>
  </conditionalFormatting>
  <dataValidations count="1">
    <dataValidation type="list" allowBlank="1" showInputMessage="1" showErrorMessage="1" sqref="B3">
      <formula1>"Peşin,0,1,"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tabSelected="1" workbookViewId="0">
      <selection activeCell="C2" sqref="C2:F5"/>
    </sheetView>
  </sheetViews>
  <sheetFormatPr defaultRowHeight="15" x14ac:dyDescent="0.25"/>
  <sheetData>
    <row r="1" spans="1:6" x14ac:dyDescent="0.25">
      <c r="A1" t="s">
        <v>90</v>
      </c>
      <c r="B1" t="s">
        <v>91</v>
      </c>
      <c r="C1" t="s">
        <v>114</v>
      </c>
      <c r="D1" t="s">
        <v>115</v>
      </c>
      <c r="E1" t="s">
        <v>116</v>
      </c>
      <c r="F1" t="s">
        <v>117</v>
      </c>
    </row>
    <row r="2" spans="1:6" x14ac:dyDescent="0.25">
      <c r="A2" s="66">
        <v>1191</v>
      </c>
      <c r="B2">
        <v>10038439</v>
      </c>
      <c r="C2">
        <v>-2146826246</v>
      </c>
      <c r="D2">
        <v>-2146826246</v>
      </c>
      <c r="E2">
        <v>-2146826246</v>
      </c>
      <c r="F2">
        <v>-2146826246</v>
      </c>
    </row>
    <row r="3" spans="1:6" x14ac:dyDescent="0.25">
      <c r="A3" s="66">
        <v>1850</v>
      </c>
      <c r="B3">
        <v>10038238</v>
      </c>
      <c r="C3">
        <v>-2146826246</v>
      </c>
      <c r="D3">
        <v>-2146826246</v>
      </c>
      <c r="E3">
        <v>-2146826246</v>
      </c>
      <c r="F3">
        <v>-2146826246</v>
      </c>
    </row>
    <row r="4" spans="1:6" x14ac:dyDescent="0.25">
      <c r="A4" s="66">
        <v>1191</v>
      </c>
      <c r="B4">
        <v>10038439</v>
      </c>
      <c r="C4">
        <v>-2146826246</v>
      </c>
      <c r="D4">
        <v>-2146826246</v>
      </c>
      <c r="E4">
        <v>-2146826246</v>
      </c>
      <c r="F4">
        <v>-2146826246</v>
      </c>
    </row>
    <row r="5" spans="1:6" x14ac:dyDescent="0.25">
      <c r="A5" s="66">
        <v>1850</v>
      </c>
      <c r="B5">
        <v>10038238</v>
      </c>
      <c r="C5">
        <v>-2146826246</v>
      </c>
      <c r="D5">
        <v>-2146826246</v>
      </c>
      <c r="E5">
        <v>-2146826246</v>
      </c>
      <c r="F5">
        <v>-2146826246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A3"/>
  <sheetViews>
    <sheetView workbookViewId="0">
      <selection activeCell="E8" sqref="E8"/>
    </sheetView>
  </sheetViews>
  <sheetFormatPr defaultRowHeight="15" x14ac:dyDescent="0.25"/>
  <sheetData>
    <row r="1" spans="1:1" x14ac:dyDescent="0.25">
      <c r="A1">
        <v>1</v>
      </c>
    </row>
    <row r="2" spans="1:1" ht="15.75" thickBot="1" x14ac:dyDescent="0.3">
      <c r="A2" s="40" t="s">
        <v>103</v>
      </c>
    </row>
    <row r="3" spans="1:1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N463"/>
  <sheetViews>
    <sheetView topLeftCell="A22" workbookViewId="0">
      <selection activeCell="L3" sqref="L3:L53"/>
    </sheetView>
  </sheetViews>
  <sheetFormatPr defaultRowHeight="15" x14ac:dyDescent="0.25"/>
  <cols>
    <col min="1" max="1" width="6" bestFit="1" customWidth="1"/>
    <col min="2" max="2" width="9" bestFit="1" customWidth="1"/>
    <col min="3" max="4" width="15.28515625" bestFit="1" customWidth="1"/>
    <col min="5" max="5" width="5.42578125" bestFit="1" customWidth="1"/>
    <col min="6" max="6" width="13.28515625" bestFit="1" customWidth="1"/>
    <col min="7" max="7" width="17.42578125" bestFit="1" customWidth="1"/>
    <col min="8" max="8" width="5.28515625" bestFit="1" customWidth="1"/>
    <col min="9" max="9" width="6.140625" bestFit="1" customWidth="1"/>
    <col min="10" max="10" width="12" bestFit="1" customWidth="1"/>
    <col min="11" max="11" width="6.42578125" bestFit="1" customWidth="1"/>
    <col min="12" max="12" width="12.5703125" bestFit="1" customWidth="1"/>
    <col min="13" max="13" width="16.85546875" bestFit="1" customWidth="1"/>
    <col min="16" max="16" width="12" bestFit="1" customWidth="1"/>
  </cols>
  <sheetData>
    <row r="1" spans="1:14" x14ac:dyDescent="0.25">
      <c r="A1">
        <v>1</v>
      </c>
    </row>
    <row r="2" spans="1:14" ht="15.75" thickBot="1" x14ac:dyDescent="0.3">
      <c r="A2" s="40" t="s">
        <v>90</v>
      </c>
      <c r="B2" s="40" t="s">
        <v>91</v>
      </c>
      <c r="C2" s="40" t="s">
        <v>92</v>
      </c>
      <c r="D2" s="40" t="s">
        <v>93</v>
      </c>
      <c r="E2" s="40" t="s">
        <v>94</v>
      </c>
      <c r="F2" s="40" t="s">
        <v>95</v>
      </c>
      <c r="G2" s="40" t="s">
        <v>96</v>
      </c>
      <c r="H2" s="40" t="s">
        <v>97</v>
      </c>
      <c r="I2" s="40" t="s">
        <v>98</v>
      </c>
      <c r="J2" s="40" t="s">
        <v>99</v>
      </c>
      <c r="K2" s="40" t="s">
        <v>100</v>
      </c>
      <c r="L2" s="40" t="s">
        <v>101</v>
      </c>
      <c r="M2" s="40" t="s">
        <v>102</v>
      </c>
    </row>
    <row r="3" spans="1:14" ht="15.75" thickTop="1" x14ac:dyDescent="0.25">
      <c r="A3">
        <v>392</v>
      </c>
      <c r="B3">
        <v>11230496</v>
      </c>
      <c r="C3" s="38">
        <v>35731</v>
      </c>
      <c r="D3" s="39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19</v>
      </c>
      <c r="L3">
        <v>107.02</v>
      </c>
      <c r="M3" s="42"/>
      <c r="N3" s="42"/>
    </row>
    <row r="4" spans="1:14" x14ac:dyDescent="0.25">
      <c r="A4">
        <v>392</v>
      </c>
      <c r="B4">
        <v>11230496</v>
      </c>
      <c r="C4" s="38">
        <v>35366</v>
      </c>
      <c r="D4" s="39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20</v>
      </c>
      <c r="L4">
        <v>109.25</v>
      </c>
      <c r="M4" s="42"/>
      <c r="N4" s="42"/>
    </row>
    <row r="5" spans="1:14" x14ac:dyDescent="0.25">
      <c r="A5">
        <v>392</v>
      </c>
      <c r="B5">
        <v>11230496</v>
      </c>
      <c r="C5" s="38">
        <v>35000</v>
      </c>
      <c r="D5" s="39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21</v>
      </c>
      <c r="L5">
        <v>110</v>
      </c>
      <c r="M5" s="42"/>
      <c r="N5" s="42"/>
    </row>
    <row r="6" spans="1:14" x14ac:dyDescent="0.25">
      <c r="A6">
        <v>392</v>
      </c>
      <c r="B6">
        <v>11230496</v>
      </c>
      <c r="C6" s="38">
        <v>34635</v>
      </c>
      <c r="D6" s="39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22</v>
      </c>
      <c r="L6">
        <v>112.97</v>
      </c>
      <c r="M6" s="42"/>
      <c r="N6" s="42"/>
    </row>
    <row r="7" spans="1:14" x14ac:dyDescent="0.25">
      <c r="A7">
        <v>392</v>
      </c>
      <c r="B7">
        <v>11230496</v>
      </c>
      <c r="C7" s="38">
        <v>34270</v>
      </c>
      <c r="D7" s="39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23</v>
      </c>
      <c r="L7">
        <v>113.71</v>
      </c>
      <c r="M7" s="42"/>
      <c r="N7" s="42"/>
    </row>
    <row r="8" spans="1:14" x14ac:dyDescent="0.25">
      <c r="A8">
        <v>392</v>
      </c>
      <c r="B8">
        <v>11230496</v>
      </c>
      <c r="C8" s="38">
        <v>33905</v>
      </c>
      <c r="D8" s="39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24</v>
      </c>
      <c r="L8">
        <v>116.69</v>
      </c>
      <c r="M8" s="42"/>
      <c r="N8" s="42"/>
    </row>
    <row r="9" spans="1:14" x14ac:dyDescent="0.25">
      <c r="A9">
        <v>392</v>
      </c>
      <c r="B9">
        <v>11230496</v>
      </c>
      <c r="C9" s="38">
        <v>33539</v>
      </c>
      <c r="D9" s="39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25</v>
      </c>
      <c r="L9">
        <v>119.66</v>
      </c>
      <c r="M9" s="42"/>
      <c r="N9" s="42"/>
    </row>
    <row r="10" spans="1:14" x14ac:dyDescent="0.25">
      <c r="A10">
        <v>392</v>
      </c>
      <c r="B10">
        <v>11230496</v>
      </c>
      <c r="C10" s="38">
        <v>33174</v>
      </c>
      <c r="D10" s="39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26</v>
      </c>
      <c r="L10">
        <v>124.86</v>
      </c>
      <c r="M10" s="42"/>
      <c r="N10" s="42"/>
    </row>
    <row r="11" spans="1:14" x14ac:dyDescent="0.25">
      <c r="A11">
        <v>392</v>
      </c>
      <c r="B11">
        <v>11230496</v>
      </c>
      <c r="C11" s="38">
        <v>32809</v>
      </c>
      <c r="D11" s="39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27</v>
      </c>
      <c r="L11">
        <v>131.55000000000001</v>
      </c>
      <c r="M11" s="42"/>
      <c r="N11" s="42"/>
    </row>
    <row r="12" spans="1:14" x14ac:dyDescent="0.25">
      <c r="A12">
        <v>392</v>
      </c>
      <c r="B12">
        <v>11230496</v>
      </c>
      <c r="C12" s="38">
        <v>32444</v>
      </c>
      <c r="D12" s="39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28</v>
      </c>
      <c r="L12">
        <v>133.78</v>
      </c>
      <c r="M12" s="42"/>
      <c r="N12" s="42"/>
    </row>
    <row r="13" spans="1:14" x14ac:dyDescent="0.25">
      <c r="A13">
        <v>392</v>
      </c>
      <c r="B13">
        <v>11230496</v>
      </c>
      <c r="C13" s="38">
        <v>32078</v>
      </c>
      <c r="D13" s="39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29</v>
      </c>
      <c r="L13">
        <v>134.52000000000001</v>
      </c>
      <c r="M13" s="42"/>
      <c r="N13" s="42"/>
    </row>
    <row r="14" spans="1:14" x14ac:dyDescent="0.25">
      <c r="A14">
        <v>392</v>
      </c>
      <c r="B14">
        <v>11230496</v>
      </c>
      <c r="C14" s="38">
        <v>31713</v>
      </c>
      <c r="D14" s="39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30</v>
      </c>
      <c r="L14">
        <v>135.27000000000001</v>
      </c>
      <c r="M14" s="42"/>
      <c r="N14" s="42"/>
    </row>
    <row r="15" spans="1:14" x14ac:dyDescent="0.25">
      <c r="A15">
        <v>392</v>
      </c>
      <c r="B15">
        <v>11230496</v>
      </c>
      <c r="C15" s="38">
        <v>31348</v>
      </c>
      <c r="D15" s="39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31</v>
      </c>
      <c r="L15">
        <v>138.24</v>
      </c>
      <c r="M15" s="42"/>
      <c r="N15" s="42"/>
    </row>
    <row r="16" spans="1:14" x14ac:dyDescent="0.25">
      <c r="A16">
        <v>392</v>
      </c>
      <c r="B16">
        <v>11230496</v>
      </c>
      <c r="C16" s="38">
        <v>30983</v>
      </c>
      <c r="D16" s="39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32</v>
      </c>
      <c r="L16">
        <v>141.21</v>
      </c>
      <c r="M16" s="42"/>
      <c r="N16" s="42"/>
    </row>
    <row r="17" spans="1:14" x14ac:dyDescent="0.25">
      <c r="A17">
        <v>392</v>
      </c>
      <c r="B17">
        <v>11230496</v>
      </c>
      <c r="C17" s="38">
        <v>30617</v>
      </c>
      <c r="D17" s="39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33</v>
      </c>
      <c r="L17">
        <v>146.41</v>
      </c>
      <c r="M17" s="42"/>
      <c r="N17" s="42"/>
    </row>
    <row r="18" spans="1:14" x14ac:dyDescent="0.25">
      <c r="A18">
        <v>392</v>
      </c>
      <c r="B18">
        <v>11230496</v>
      </c>
      <c r="C18" s="38">
        <v>30252</v>
      </c>
      <c r="D18" s="39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34</v>
      </c>
      <c r="L18">
        <v>153.1</v>
      </c>
      <c r="M18" s="42"/>
      <c r="N18" s="42"/>
    </row>
    <row r="19" spans="1:14" x14ac:dyDescent="0.25">
      <c r="A19">
        <v>392</v>
      </c>
      <c r="B19">
        <v>11230496</v>
      </c>
      <c r="C19" s="38">
        <v>29887</v>
      </c>
      <c r="D19" s="39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35</v>
      </c>
      <c r="L19">
        <v>162.02000000000001</v>
      </c>
      <c r="M19" s="42"/>
      <c r="N19" s="42"/>
    </row>
    <row r="20" spans="1:14" x14ac:dyDescent="0.25">
      <c r="A20">
        <v>392</v>
      </c>
      <c r="B20">
        <v>11230496</v>
      </c>
      <c r="C20" s="38">
        <v>29522</v>
      </c>
      <c r="D20" s="39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36</v>
      </c>
      <c r="L20">
        <v>171.68</v>
      </c>
      <c r="M20" s="42"/>
      <c r="N20" s="42"/>
    </row>
    <row r="21" spans="1:14" x14ac:dyDescent="0.25">
      <c r="A21">
        <v>392</v>
      </c>
      <c r="B21">
        <v>11230496</v>
      </c>
      <c r="C21" s="38">
        <v>29156</v>
      </c>
      <c r="D21" s="39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37</v>
      </c>
      <c r="L21">
        <v>182.09</v>
      </c>
      <c r="M21" s="42"/>
      <c r="N21" s="42"/>
    </row>
    <row r="22" spans="1:14" x14ac:dyDescent="0.25">
      <c r="A22">
        <v>392</v>
      </c>
      <c r="B22">
        <v>11230496</v>
      </c>
      <c r="C22" s="38">
        <v>28791</v>
      </c>
      <c r="D22" s="39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38</v>
      </c>
      <c r="L22">
        <v>193.98</v>
      </c>
      <c r="M22" s="42"/>
      <c r="N22" s="42"/>
    </row>
    <row r="23" spans="1:14" x14ac:dyDescent="0.25">
      <c r="A23">
        <v>392</v>
      </c>
      <c r="B23">
        <v>11230496</v>
      </c>
      <c r="C23" s="38">
        <v>28426</v>
      </c>
      <c r="D23" s="39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39</v>
      </c>
      <c r="L23">
        <v>205.87</v>
      </c>
      <c r="M23" s="42"/>
      <c r="N23" s="42"/>
    </row>
    <row r="24" spans="1:14" x14ac:dyDescent="0.25">
      <c r="A24">
        <v>392</v>
      </c>
      <c r="B24">
        <v>11230496</v>
      </c>
      <c r="C24" s="38">
        <v>28061</v>
      </c>
      <c r="D24" s="39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40</v>
      </c>
      <c r="L24">
        <v>219.25</v>
      </c>
      <c r="M24" s="42"/>
      <c r="N24" s="42"/>
    </row>
    <row r="25" spans="1:14" x14ac:dyDescent="0.25">
      <c r="A25">
        <v>392</v>
      </c>
      <c r="B25">
        <v>11230496</v>
      </c>
      <c r="C25" s="38">
        <v>27695</v>
      </c>
      <c r="D25" s="39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41</v>
      </c>
      <c r="L25">
        <v>235.6</v>
      </c>
      <c r="M25" s="42"/>
      <c r="N25" s="42"/>
    </row>
    <row r="26" spans="1:14" x14ac:dyDescent="0.25">
      <c r="A26">
        <v>392</v>
      </c>
      <c r="B26">
        <v>11230496</v>
      </c>
      <c r="C26" s="38">
        <v>27330</v>
      </c>
      <c r="D26" s="39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42</v>
      </c>
      <c r="L26">
        <v>255.67</v>
      </c>
      <c r="M26" s="42"/>
      <c r="N26" s="42"/>
    </row>
    <row r="27" spans="1:14" x14ac:dyDescent="0.25">
      <c r="A27">
        <v>392</v>
      </c>
      <c r="B27">
        <v>11230496</v>
      </c>
      <c r="C27" s="38">
        <v>26965</v>
      </c>
      <c r="D27" s="39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43</v>
      </c>
      <c r="L27">
        <v>277.95999999999998</v>
      </c>
      <c r="M27" s="42"/>
      <c r="N27" s="42"/>
    </row>
    <row r="28" spans="1:14" x14ac:dyDescent="0.25">
      <c r="A28">
        <v>392</v>
      </c>
      <c r="B28">
        <v>11230496</v>
      </c>
      <c r="C28" s="38">
        <v>26600</v>
      </c>
      <c r="D28" s="39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44</v>
      </c>
      <c r="L28">
        <v>305.45999999999998</v>
      </c>
      <c r="M28" s="42"/>
      <c r="N28" s="42"/>
    </row>
    <row r="29" spans="1:14" x14ac:dyDescent="0.25">
      <c r="A29">
        <v>392</v>
      </c>
      <c r="B29">
        <v>11230496</v>
      </c>
      <c r="C29" s="38">
        <v>26234</v>
      </c>
      <c r="D29" s="39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45</v>
      </c>
      <c r="L29">
        <v>335.93</v>
      </c>
      <c r="M29" s="42"/>
      <c r="N29" s="42"/>
    </row>
    <row r="30" spans="1:14" x14ac:dyDescent="0.25">
      <c r="A30">
        <v>392</v>
      </c>
      <c r="B30">
        <v>11230496</v>
      </c>
      <c r="C30" s="38">
        <v>25869</v>
      </c>
      <c r="D30" s="39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46</v>
      </c>
      <c r="L30">
        <v>367.89</v>
      </c>
      <c r="M30" s="42"/>
      <c r="N30" s="42"/>
    </row>
    <row r="31" spans="1:14" x14ac:dyDescent="0.25">
      <c r="A31">
        <v>392</v>
      </c>
      <c r="B31">
        <v>11230496</v>
      </c>
      <c r="C31" s="38">
        <v>25504</v>
      </c>
      <c r="D31" s="39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47</v>
      </c>
      <c r="L31">
        <v>404.31</v>
      </c>
      <c r="M31" s="42"/>
      <c r="N31" s="42"/>
    </row>
    <row r="32" spans="1:14" x14ac:dyDescent="0.25">
      <c r="A32">
        <v>392</v>
      </c>
      <c r="B32">
        <v>11230496</v>
      </c>
      <c r="C32" s="38">
        <v>25139</v>
      </c>
      <c r="D32" s="39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48</v>
      </c>
      <c r="L32">
        <v>433.3</v>
      </c>
      <c r="M32" s="42"/>
      <c r="N32" s="42"/>
    </row>
    <row r="33" spans="1:14" x14ac:dyDescent="0.25">
      <c r="A33">
        <v>392</v>
      </c>
      <c r="B33">
        <v>11230496</v>
      </c>
      <c r="C33" s="38">
        <v>24773</v>
      </c>
      <c r="D33" s="39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49</v>
      </c>
      <c r="L33">
        <v>468.23</v>
      </c>
      <c r="M33" s="42"/>
      <c r="N33" s="42"/>
    </row>
    <row r="34" spans="1:14" x14ac:dyDescent="0.25">
      <c r="A34">
        <v>392</v>
      </c>
      <c r="B34">
        <v>11230496</v>
      </c>
      <c r="C34" s="38">
        <v>24408</v>
      </c>
      <c r="D34" s="39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50</v>
      </c>
      <c r="L34">
        <v>508.36</v>
      </c>
      <c r="M34" s="42"/>
      <c r="N34" s="42"/>
    </row>
    <row r="35" spans="1:14" x14ac:dyDescent="0.25">
      <c r="A35">
        <v>392</v>
      </c>
      <c r="B35">
        <v>11230496</v>
      </c>
      <c r="C35" s="38">
        <v>24043</v>
      </c>
      <c r="D35" s="39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51</v>
      </c>
      <c r="L35">
        <v>555.17999999999995</v>
      </c>
      <c r="M35" s="42"/>
      <c r="N35" s="42"/>
    </row>
    <row r="36" spans="1:14" x14ac:dyDescent="0.25">
      <c r="A36">
        <v>392</v>
      </c>
      <c r="B36">
        <v>11230496</v>
      </c>
      <c r="C36" s="38">
        <v>23678</v>
      </c>
      <c r="D36" s="39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52</v>
      </c>
      <c r="L36">
        <v>613.9</v>
      </c>
      <c r="M36" s="42"/>
      <c r="N36" s="42"/>
    </row>
    <row r="37" spans="1:14" x14ac:dyDescent="0.25">
      <c r="A37">
        <v>392</v>
      </c>
      <c r="B37">
        <v>11230496</v>
      </c>
      <c r="C37" s="38">
        <v>23312</v>
      </c>
      <c r="D37" s="39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53</v>
      </c>
      <c r="L37">
        <v>678.56</v>
      </c>
      <c r="M37" s="42"/>
      <c r="N37" s="42"/>
    </row>
    <row r="38" spans="1:14" x14ac:dyDescent="0.25">
      <c r="A38">
        <v>392</v>
      </c>
      <c r="B38">
        <v>11230496</v>
      </c>
      <c r="C38" s="38">
        <v>22947</v>
      </c>
      <c r="D38" s="39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54</v>
      </c>
      <c r="L38">
        <v>752.88</v>
      </c>
      <c r="M38" s="42"/>
      <c r="N38" s="42"/>
    </row>
    <row r="39" spans="1:14" x14ac:dyDescent="0.25">
      <c r="A39">
        <v>392</v>
      </c>
      <c r="B39">
        <v>11230496</v>
      </c>
      <c r="C39" s="38">
        <v>22582</v>
      </c>
      <c r="D39" s="39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55</v>
      </c>
      <c r="L39">
        <v>837.61</v>
      </c>
      <c r="M39" s="42"/>
      <c r="N39" s="42"/>
    </row>
    <row r="40" spans="1:14" x14ac:dyDescent="0.25">
      <c r="A40">
        <v>392</v>
      </c>
      <c r="B40">
        <v>11230496</v>
      </c>
      <c r="C40" s="38">
        <v>22217</v>
      </c>
      <c r="D40" s="39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56</v>
      </c>
      <c r="L40">
        <v>929.77</v>
      </c>
      <c r="M40" s="42"/>
      <c r="N40" s="42"/>
    </row>
    <row r="41" spans="1:14" x14ac:dyDescent="0.25">
      <c r="A41">
        <v>392</v>
      </c>
      <c r="B41">
        <v>11230496</v>
      </c>
      <c r="C41" s="38">
        <v>21851</v>
      </c>
      <c r="D41" s="39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57</v>
      </c>
      <c r="L41">
        <v>1027.8699999999999</v>
      </c>
      <c r="M41" s="42"/>
      <c r="N41" s="42"/>
    </row>
    <row r="42" spans="1:14" x14ac:dyDescent="0.25">
      <c r="A42">
        <v>392</v>
      </c>
      <c r="B42">
        <v>11230496</v>
      </c>
      <c r="C42" s="38">
        <v>21486</v>
      </c>
      <c r="D42" s="39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58</v>
      </c>
      <c r="L42">
        <v>1120.03</v>
      </c>
      <c r="M42" s="42"/>
      <c r="N42" s="42"/>
    </row>
    <row r="43" spans="1:14" x14ac:dyDescent="0.25">
      <c r="A43">
        <v>392</v>
      </c>
      <c r="B43">
        <v>11230496</v>
      </c>
      <c r="C43" s="38">
        <v>21121</v>
      </c>
      <c r="D43" s="39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59</v>
      </c>
      <c r="L43">
        <v>1217.3900000000001</v>
      </c>
      <c r="M43" s="42"/>
      <c r="N43" s="42"/>
    </row>
    <row r="44" spans="1:14" x14ac:dyDescent="0.25">
      <c r="A44">
        <v>392</v>
      </c>
      <c r="B44">
        <v>11230496</v>
      </c>
      <c r="C44" s="38">
        <v>20756</v>
      </c>
      <c r="D44" s="39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60</v>
      </c>
      <c r="L44">
        <v>1328.13</v>
      </c>
      <c r="M44" s="42"/>
      <c r="N44" s="42"/>
    </row>
    <row r="45" spans="1:14" x14ac:dyDescent="0.25">
      <c r="A45">
        <v>392</v>
      </c>
      <c r="B45">
        <v>11230496</v>
      </c>
      <c r="C45" s="38">
        <v>20390</v>
      </c>
      <c r="D45" s="39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61</v>
      </c>
      <c r="L45">
        <v>1458.19</v>
      </c>
      <c r="M45" s="42"/>
      <c r="N45" s="42"/>
    </row>
    <row r="46" spans="1:14" x14ac:dyDescent="0.25">
      <c r="A46">
        <v>392</v>
      </c>
      <c r="B46">
        <v>11230496</v>
      </c>
      <c r="C46" s="38">
        <v>20025</v>
      </c>
      <c r="D46" s="39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62</v>
      </c>
      <c r="L46">
        <v>1608.32</v>
      </c>
      <c r="M46" s="42"/>
      <c r="N46" s="42"/>
    </row>
    <row r="47" spans="1:14" x14ac:dyDescent="0.25">
      <c r="A47">
        <v>392</v>
      </c>
      <c r="B47">
        <v>11230496</v>
      </c>
      <c r="C47" s="38">
        <v>19660</v>
      </c>
      <c r="D47" s="39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63</v>
      </c>
      <c r="L47">
        <v>1772.58</v>
      </c>
      <c r="M47" s="42"/>
      <c r="N47" s="42"/>
    </row>
    <row r="48" spans="1:14" x14ac:dyDescent="0.25">
      <c r="A48">
        <v>392</v>
      </c>
      <c r="B48">
        <v>11230496</v>
      </c>
      <c r="C48" s="38">
        <v>19295</v>
      </c>
      <c r="D48" s="39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64</v>
      </c>
      <c r="L48">
        <v>1947.23</v>
      </c>
      <c r="M48" s="42"/>
      <c r="N48" s="42"/>
    </row>
    <row r="49" spans="1:14" x14ac:dyDescent="0.25">
      <c r="A49">
        <v>392</v>
      </c>
      <c r="B49">
        <v>11230496</v>
      </c>
      <c r="C49" s="38">
        <v>18929</v>
      </c>
      <c r="D49" s="39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65</v>
      </c>
      <c r="L49">
        <v>2133.04</v>
      </c>
      <c r="M49" s="42"/>
      <c r="N49" s="42"/>
    </row>
    <row r="50" spans="1:14" x14ac:dyDescent="0.25">
      <c r="A50">
        <v>392</v>
      </c>
      <c r="B50">
        <v>11230496</v>
      </c>
      <c r="C50" s="38">
        <v>18564</v>
      </c>
      <c r="D50" s="39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66</v>
      </c>
      <c r="L50">
        <v>2325.5300000000002</v>
      </c>
      <c r="M50" s="42"/>
      <c r="N50" s="42"/>
    </row>
    <row r="51" spans="1:14" x14ac:dyDescent="0.25">
      <c r="A51">
        <v>392</v>
      </c>
      <c r="B51">
        <v>11230496</v>
      </c>
      <c r="C51" s="38">
        <v>18199</v>
      </c>
      <c r="D51" s="39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67</v>
      </c>
      <c r="L51">
        <v>2525.46</v>
      </c>
      <c r="M51" s="42"/>
      <c r="N51" s="42"/>
    </row>
    <row r="52" spans="1:14" x14ac:dyDescent="0.25">
      <c r="A52">
        <v>392</v>
      </c>
      <c r="B52">
        <v>11230496</v>
      </c>
      <c r="C52" s="38">
        <v>17834</v>
      </c>
      <c r="D52" s="39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68</v>
      </c>
      <c r="L52">
        <v>2743.96</v>
      </c>
      <c r="M52" s="42"/>
      <c r="N52" s="42"/>
    </row>
    <row r="53" spans="1:14" x14ac:dyDescent="0.25">
      <c r="A53">
        <v>392</v>
      </c>
      <c r="B53">
        <v>11230496</v>
      </c>
      <c r="C53" s="38">
        <v>17468</v>
      </c>
      <c r="D53" s="39">
        <v>42402</v>
      </c>
      <c r="E53">
        <v>12</v>
      </c>
      <c r="F53">
        <v>100000</v>
      </c>
      <c r="G53">
        <v>0.01</v>
      </c>
      <c r="H53">
        <v>0</v>
      </c>
      <c r="I53">
        <v>0</v>
      </c>
      <c r="J53" t="s">
        <v>89</v>
      </c>
      <c r="K53">
        <v>69</v>
      </c>
      <c r="L53">
        <v>2972.87</v>
      </c>
      <c r="M53" s="42"/>
      <c r="N53" s="42"/>
    </row>
    <row r="54" spans="1:14" x14ac:dyDescent="0.25">
      <c r="C54" s="38"/>
      <c r="D54" s="39"/>
      <c r="M54" s="42"/>
    </row>
    <row r="55" spans="1:14" x14ac:dyDescent="0.25">
      <c r="C55" s="38"/>
      <c r="D55" s="39"/>
      <c r="M55" s="42"/>
    </row>
    <row r="56" spans="1:14" x14ac:dyDescent="0.25">
      <c r="C56" s="38"/>
      <c r="D56" s="39"/>
      <c r="M56" s="42"/>
    </row>
    <row r="57" spans="1:14" x14ac:dyDescent="0.25">
      <c r="C57" s="38"/>
      <c r="D57" s="39"/>
      <c r="M57" s="42"/>
    </row>
    <row r="58" spans="1:14" x14ac:dyDescent="0.25">
      <c r="C58" s="38"/>
      <c r="D58" s="39"/>
      <c r="M58" s="42"/>
    </row>
    <row r="59" spans="1:14" x14ac:dyDescent="0.25">
      <c r="C59" s="38"/>
      <c r="D59" s="39"/>
      <c r="M59" s="42"/>
    </row>
    <row r="60" spans="1:14" x14ac:dyDescent="0.25">
      <c r="C60" s="38"/>
      <c r="D60" s="39"/>
      <c r="M60" s="42"/>
    </row>
    <row r="61" spans="1:14" x14ac:dyDescent="0.25">
      <c r="C61" s="38"/>
      <c r="D61" s="39"/>
      <c r="M61" s="42"/>
    </row>
    <row r="62" spans="1:14" x14ac:dyDescent="0.25">
      <c r="C62" s="38"/>
      <c r="D62" s="39"/>
      <c r="M62" s="42"/>
    </row>
    <row r="63" spans="1:14" x14ac:dyDescent="0.25">
      <c r="C63" s="38"/>
      <c r="D63" s="39"/>
      <c r="M63" s="42"/>
    </row>
    <row r="64" spans="1:14" x14ac:dyDescent="0.25">
      <c r="C64" s="38"/>
      <c r="D64" s="39"/>
      <c r="M64" s="42"/>
    </row>
    <row r="65" spans="3:13" x14ac:dyDescent="0.25">
      <c r="C65" s="38"/>
      <c r="D65" s="39"/>
      <c r="M65" s="42"/>
    </row>
    <row r="66" spans="3:13" x14ac:dyDescent="0.25">
      <c r="C66" s="38"/>
      <c r="D66" s="39"/>
      <c r="M66" s="42"/>
    </row>
    <row r="67" spans="3:13" x14ac:dyDescent="0.25">
      <c r="C67" s="38"/>
      <c r="D67" s="39"/>
      <c r="M67" s="42"/>
    </row>
    <row r="68" spans="3:13" x14ac:dyDescent="0.25">
      <c r="C68" s="38"/>
      <c r="D68" s="39"/>
      <c r="M68" s="42"/>
    </row>
    <row r="69" spans="3:13" x14ac:dyDescent="0.25">
      <c r="C69" s="38"/>
      <c r="D69" s="39"/>
      <c r="M69" s="42"/>
    </row>
    <row r="70" spans="3:13" x14ac:dyDescent="0.25">
      <c r="C70" s="38"/>
      <c r="D70" s="39"/>
      <c r="M70" s="42"/>
    </row>
    <row r="71" spans="3:13" x14ac:dyDescent="0.25">
      <c r="C71" s="38"/>
      <c r="D71" s="39"/>
      <c r="M71" s="42"/>
    </row>
    <row r="72" spans="3:13" x14ac:dyDescent="0.25">
      <c r="C72" s="38"/>
      <c r="D72" s="39"/>
      <c r="M72" s="42"/>
    </row>
    <row r="73" spans="3:13" x14ac:dyDescent="0.25">
      <c r="C73" s="38"/>
      <c r="D73" s="39"/>
      <c r="M73" s="42"/>
    </row>
    <row r="74" spans="3:13" x14ac:dyDescent="0.25">
      <c r="C74" s="38"/>
      <c r="D74" s="39"/>
      <c r="M74" s="42"/>
    </row>
    <row r="75" spans="3:13" x14ac:dyDescent="0.25">
      <c r="C75" s="38"/>
      <c r="D75" s="39"/>
      <c r="M75" s="42"/>
    </row>
    <row r="76" spans="3:13" x14ac:dyDescent="0.25">
      <c r="C76" s="38"/>
      <c r="D76" s="39"/>
      <c r="M76" s="42"/>
    </row>
    <row r="77" spans="3:13" x14ac:dyDescent="0.25">
      <c r="C77" s="38"/>
      <c r="D77" s="39"/>
      <c r="M77" s="42"/>
    </row>
    <row r="78" spans="3:13" x14ac:dyDescent="0.25">
      <c r="C78" s="38"/>
      <c r="D78" s="39"/>
      <c r="M78" s="42"/>
    </row>
    <row r="79" spans="3:13" x14ac:dyDescent="0.25">
      <c r="C79" s="38"/>
      <c r="D79" s="39"/>
      <c r="M79" s="42"/>
    </row>
    <row r="80" spans="3:13" x14ac:dyDescent="0.25">
      <c r="C80" s="38"/>
      <c r="D80" s="39"/>
      <c r="M80" s="42"/>
    </row>
    <row r="81" spans="3:13" x14ac:dyDescent="0.25">
      <c r="C81" s="38"/>
      <c r="D81" s="39"/>
      <c r="M81" s="42"/>
    </row>
    <row r="82" spans="3:13" x14ac:dyDescent="0.25">
      <c r="C82" s="38"/>
      <c r="D82" s="39"/>
      <c r="M82" s="42"/>
    </row>
    <row r="83" spans="3:13" x14ac:dyDescent="0.25">
      <c r="C83" s="38"/>
      <c r="D83" s="39"/>
      <c r="M83" s="42"/>
    </row>
    <row r="84" spans="3:13" x14ac:dyDescent="0.25">
      <c r="C84" s="38"/>
      <c r="D84" s="39"/>
      <c r="M84" s="42"/>
    </row>
    <row r="85" spans="3:13" x14ac:dyDescent="0.25">
      <c r="C85" s="38"/>
      <c r="D85" s="39"/>
      <c r="M85" s="42"/>
    </row>
    <row r="86" spans="3:13" x14ac:dyDescent="0.25">
      <c r="C86" s="38"/>
      <c r="D86" s="39"/>
      <c r="M86" s="42"/>
    </row>
    <row r="87" spans="3:13" x14ac:dyDescent="0.25">
      <c r="C87" s="38"/>
      <c r="D87" s="39"/>
      <c r="M87" s="42"/>
    </row>
    <row r="88" spans="3:13" x14ac:dyDescent="0.25">
      <c r="C88" s="38"/>
      <c r="D88" s="39"/>
      <c r="M88" s="42"/>
    </row>
    <row r="89" spans="3:13" x14ac:dyDescent="0.25">
      <c r="C89" s="38"/>
      <c r="D89" s="39"/>
      <c r="M89" s="42"/>
    </row>
    <row r="90" spans="3:13" x14ac:dyDescent="0.25">
      <c r="C90" s="38"/>
      <c r="D90" s="39"/>
      <c r="M90" s="42"/>
    </row>
    <row r="91" spans="3:13" x14ac:dyDescent="0.25">
      <c r="C91" s="38"/>
      <c r="D91" s="39"/>
      <c r="M91" s="42"/>
    </row>
    <row r="92" spans="3:13" x14ac:dyDescent="0.25">
      <c r="C92" s="38"/>
      <c r="D92" s="39"/>
      <c r="M92" s="42"/>
    </row>
    <row r="93" spans="3:13" x14ac:dyDescent="0.25">
      <c r="C93" s="38"/>
      <c r="D93" s="39"/>
      <c r="M93" s="42"/>
    </row>
    <row r="94" spans="3:13" x14ac:dyDescent="0.25">
      <c r="C94" s="38"/>
      <c r="D94" s="39"/>
      <c r="M94" s="42"/>
    </row>
    <row r="95" spans="3:13" x14ac:dyDescent="0.25">
      <c r="C95" s="38"/>
      <c r="D95" s="39"/>
      <c r="M95" s="42"/>
    </row>
    <row r="96" spans="3:13" x14ac:dyDescent="0.25">
      <c r="C96" s="38"/>
      <c r="D96" s="39"/>
      <c r="M96" s="42"/>
    </row>
    <row r="97" spans="3:13" x14ac:dyDescent="0.25">
      <c r="C97" s="38"/>
      <c r="D97" s="39"/>
      <c r="M97" s="42"/>
    </row>
    <row r="98" spans="3:13" x14ac:dyDescent="0.25">
      <c r="C98" s="38"/>
      <c r="D98" s="39"/>
      <c r="M98" s="42"/>
    </row>
    <row r="99" spans="3:13" x14ac:dyDescent="0.25">
      <c r="C99" s="38"/>
      <c r="D99" s="39"/>
      <c r="M99" s="42"/>
    </row>
    <row r="100" spans="3:13" x14ac:dyDescent="0.25">
      <c r="C100" s="38"/>
      <c r="D100" s="39"/>
      <c r="M100" s="42"/>
    </row>
    <row r="101" spans="3:13" x14ac:dyDescent="0.25">
      <c r="C101" s="38"/>
      <c r="D101" s="39"/>
      <c r="M101" s="42"/>
    </row>
    <row r="102" spans="3:13" x14ac:dyDescent="0.25">
      <c r="C102" s="38"/>
      <c r="D102" s="39"/>
      <c r="M102" s="42"/>
    </row>
    <row r="103" spans="3:13" x14ac:dyDescent="0.25">
      <c r="C103" s="38"/>
      <c r="D103" s="39"/>
      <c r="M103" s="42"/>
    </row>
    <row r="104" spans="3:13" x14ac:dyDescent="0.25">
      <c r="C104" s="38"/>
      <c r="D104" s="39"/>
      <c r="M104" s="42"/>
    </row>
    <row r="105" spans="3:13" x14ac:dyDescent="0.25">
      <c r="C105" s="38"/>
      <c r="D105" s="39"/>
      <c r="M105" s="42"/>
    </row>
    <row r="106" spans="3:13" x14ac:dyDescent="0.25">
      <c r="C106" s="38"/>
      <c r="D106" s="39"/>
      <c r="M106" s="42"/>
    </row>
    <row r="107" spans="3:13" x14ac:dyDescent="0.25">
      <c r="C107" s="38"/>
      <c r="D107" s="39"/>
      <c r="M107" s="42"/>
    </row>
    <row r="108" spans="3:13" x14ac:dyDescent="0.25">
      <c r="C108" s="38"/>
      <c r="D108" s="39"/>
      <c r="M108" s="42"/>
    </row>
    <row r="109" spans="3:13" x14ac:dyDescent="0.25">
      <c r="C109" s="38"/>
      <c r="D109" s="39"/>
      <c r="M109" s="42"/>
    </row>
    <row r="110" spans="3:13" x14ac:dyDescent="0.25">
      <c r="C110" s="38"/>
      <c r="D110" s="39"/>
      <c r="M110" s="42"/>
    </row>
    <row r="111" spans="3:13" x14ac:dyDescent="0.25">
      <c r="C111" s="38"/>
      <c r="D111" s="39"/>
      <c r="M111" s="42"/>
    </row>
    <row r="112" spans="3:13" x14ac:dyDescent="0.25">
      <c r="C112" s="38"/>
      <c r="D112" s="39"/>
      <c r="M112" s="42"/>
    </row>
    <row r="113" spans="3:13" x14ac:dyDescent="0.25">
      <c r="C113" s="38"/>
      <c r="D113" s="39"/>
      <c r="M113" s="42"/>
    </row>
    <row r="114" spans="3:13" x14ac:dyDescent="0.25">
      <c r="C114" s="38"/>
      <c r="D114" s="39"/>
      <c r="M114" s="42"/>
    </row>
    <row r="115" spans="3:13" x14ac:dyDescent="0.25">
      <c r="C115" s="38"/>
      <c r="D115" s="39"/>
      <c r="M115" s="42"/>
    </row>
    <row r="116" spans="3:13" x14ac:dyDescent="0.25">
      <c r="C116" s="38"/>
      <c r="D116" s="39"/>
      <c r="M116" s="42"/>
    </row>
    <row r="117" spans="3:13" x14ac:dyDescent="0.25">
      <c r="C117" s="38"/>
      <c r="D117" s="39"/>
      <c r="M117" s="42"/>
    </row>
    <row r="118" spans="3:13" x14ac:dyDescent="0.25">
      <c r="C118" s="38"/>
      <c r="D118" s="39"/>
      <c r="M118" s="42"/>
    </row>
    <row r="119" spans="3:13" x14ac:dyDescent="0.25">
      <c r="C119" s="38"/>
      <c r="D119" s="39"/>
      <c r="M119" s="42"/>
    </row>
    <row r="120" spans="3:13" x14ac:dyDescent="0.25">
      <c r="C120" s="38"/>
      <c r="D120" s="39"/>
      <c r="M120" s="42"/>
    </row>
    <row r="121" spans="3:13" x14ac:dyDescent="0.25">
      <c r="C121" s="38"/>
      <c r="D121" s="39"/>
      <c r="M121" s="42"/>
    </row>
    <row r="122" spans="3:13" x14ac:dyDescent="0.25">
      <c r="C122" s="38"/>
      <c r="D122" s="39"/>
      <c r="M122" s="42"/>
    </row>
    <row r="123" spans="3:13" x14ac:dyDescent="0.25">
      <c r="C123" s="38"/>
      <c r="D123" s="39"/>
      <c r="M123" s="42"/>
    </row>
    <row r="124" spans="3:13" x14ac:dyDescent="0.25">
      <c r="C124" s="38"/>
      <c r="D124" s="39"/>
      <c r="M124" s="42"/>
    </row>
    <row r="125" spans="3:13" x14ac:dyDescent="0.25">
      <c r="C125" s="38"/>
      <c r="D125" s="39"/>
      <c r="M125" s="42"/>
    </row>
    <row r="126" spans="3:13" x14ac:dyDescent="0.25">
      <c r="C126" s="38"/>
      <c r="D126" s="39"/>
      <c r="M126" s="42"/>
    </row>
    <row r="127" spans="3:13" x14ac:dyDescent="0.25">
      <c r="C127" s="38"/>
      <c r="D127" s="39"/>
      <c r="M127" s="42"/>
    </row>
    <row r="128" spans="3:13" x14ac:dyDescent="0.25">
      <c r="C128" s="38"/>
      <c r="D128" s="39"/>
      <c r="M128" s="42"/>
    </row>
    <row r="129" spans="3:13" x14ac:dyDescent="0.25">
      <c r="C129" s="38"/>
      <c r="D129" s="39"/>
      <c r="M129" s="42"/>
    </row>
    <row r="130" spans="3:13" x14ac:dyDescent="0.25">
      <c r="C130" s="38"/>
      <c r="D130" s="39"/>
      <c r="M130" s="42"/>
    </row>
    <row r="131" spans="3:13" x14ac:dyDescent="0.25">
      <c r="C131" s="38"/>
      <c r="D131" s="39"/>
      <c r="M131" s="42"/>
    </row>
    <row r="132" spans="3:13" x14ac:dyDescent="0.25">
      <c r="C132" s="38"/>
      <c r="D132" s="39"/>
      <c r="M132" s="42"/>
    </row>
    <row r="133" spans="3:13" x14ac:dyDescent="0.25">
      <c r="C133" s="38"/>
      <c r="D133" s="39"/>
      <c r="M133" s="42"/>
    </row>
    <row r="134" spans="3:13" x14ac:dyDescent="0.25">
      <c r="C134" s="38"/>
      <c r="D134" s="39"/>
      <c r="M134" s="42"/>
    </row>
    <row r="135" spans="3:13" x14ac:dyDescent="0.25">
      <c r="C135" s="38"/>
      <c r="D135" s="39"/>
      <c r="M135" s="42"/>
    </row>
    <row r="136" spans="3:13" x14ac:dyDescent="0.25">
      <c r="C136" s="38"/>
      <c r="D136" s="39"/>
      <c r="M136" s="42"/>
    </row>
    <row r="137" spans="3:13" x14ac:dyDescent="0.25">
      <c r="C137" s="38"/>
      <c r="D137" s="39"/>
      <c r="M137" s="42"/>
    </row>
    <row r="138" spans="3:13" x14ac:dyDescent="0.25">
      <c r="C138" s="38"/>
      <c r="D138" s="39"/>
      <c r="M138" s="42"/>
    </row>
    <row r="139" spans="3:13" x14ac:dyDescent="0.25">
      <c r="C139" s="38"/>
      <c r="D139" s="39"/>
      <c r="M139" s="42"/>
    </row>
    <row r="140" spans="3:13" x14ac:dyDescent="0.25">
      <c r="C140" s="38"/>
      <c r="D140" s="39"/>
      <c r="M140" s="42"/>
    </row>
    <row r="141" spans="3:13" x14ac:dyDescent="0.25">
      <c r="C141" s="38"/>
      <c r="D141" s="39"/>
      <c r="M141" s="42"/>
    </row>
    <row r="142" spans="3:13" x14ac:dyDescent="0.25">
      <c r="C142" s="38"/>
      <c r="D142" s="39"/>
      <c r="M142" s="42"/>
    </row>
    <row r="143" spans="3:13" x14ac:dyDescent="0.25">
      <c r="C143" s="38"/>
      <c r="D143" s="39"/>
      <c r="M143" s="42"/>
    </row>
    <row r="144" spans="3:13" x14ac:dyDescent="0.25">
      <c r="C144" s="38"/>
      <c r="D144" s="39"/>
      <c r="M144" s="42"/>
    </row>
    <row r="145" spans="3:13" x14ac:dyDescent="0.25">
      <c r="C145" s="38"/>
      <c r="D145" s="39"/>
      <c r="M145" s="42"/>
    </row>
    <row r="146" spans="3:13" x14ac:dyDescent="0.25">
      <c r="C146" s="38"/>
      <c r="D146" s="39"/>
      <c r="M146" s="42"/>
    </row>
    <row r="147" spans="3:13" x14ac:dyDescent="0.25">
      <c r="C147" s="38"/>
      <c r="D147" s="39"/>
      <c r="M147" s="42"/>
    </row>
    <row r="148" spans="3:13" x14ac:dyDescent="0.25">
      <c r="C148" s="38"/>
      <c r="D148" s="39"/>
      <c r="M148" s="42"/>
    </row>
    <row r="149" spans="3:13" x14ac:dyDescent="0.25">
      <c r="C149" s="38"/>
      <c r="D149" s="39"/>
      <c r="M149" s="42"/>
    </row>
    <row r="150" spans="3:13" x14ac:dyDescent="0.25">
      <c r="C150" s="38"/>
      <c r="D150" s="39"/>
      <c r="M150" s="42"/>
    </row>
    <row r="151" spans="3:13" x14ac:dyDescent="0.25">
      <c r="C151" s="38"/>
      <c r="D151" s="39"/>
      <c r="M151" s="42"/>
    </row>
    <row r="152" spans="3:13" x14ac:dyDescent="0.25">
      <c r="C152" s="38"/>
      <c r="D152" s="39"/>
      <c r="M152" s="42"/>
    </row>
    <row r="153" spans="3:13" x14ac:dyDescent="0.25">
      <c r="C153" s="38"/>
      <c r="D153" s="39"/>
      <c r="M153" s="42"/>
    </row>
    <row r="154" spans="3:13" x14ac:dyDescent="0.25">
      <c r="C154" s="38"/>
      <c r="D154" s="39"/>
      <c r="M154" s="42"/>
    </row>
    <row r="155" spans="3:13" x14ac:dyDescent="0.25">
      <c r="C155" s="38"/>
      <c r="D155" s="39"/>
      <c r="M155" s="42"/>
    </row>
    <row r="156" spans="3:13" x14ac:dyDescent="0.25">
      <c r="C156" s="38"/>
      <c r="D156" s="39"/>
      <c r="M156" s="42"/>
    </row>
    <row r="157" spans="3:13" x14ac:dyDescent="0.25">
      <c r="C157" s="38"/>
      <c r="D157" s="39"/>
      <c r="M157" s="42"/>
    </row>
    <row r="158" spans="3:13" x14ac:dyDescent="0.25">
      <c r="C158" s="38"/>
      <c r="D158" s="39"/>
      <c r="M158" s="42"/>
    </row>
    <row r="159" spans="3:13" x14ac:dyDescent="0.25">
      <c r="C159" s="38"/>
      <c r="D159" s="39"/>
      <c r="M159" s="42"/>
    </row>
    <row r="160" spans="3:13" x14ac:dyDescent="0.25">
      <c r="C160" s="38"/>
      <c r="D160" s="39"/>
      <c r="M160" s="42"/>
    </row>
    <row r="161" spans="3:13" x14ac:dyDescent="0.25">
      <c r="C161" s="38"/>
      <c r="D161" s="39"/>
      <c r="M161" s="42"/>
    </row>
    <row r="162" spans="3:13" x14ac:dyDescent="0.25">
      <c r="C162" s="38"/>
      <c r="D162" s="39"/>
      <c r="M162" s="42"/>
    </row>
    <row r="163" spans="3:13" x14ac:dyDescent="0.25">
      <c r="C163" s="38"/>
      <c r="D163" s="39"/>
      <c r="M163" s="42"/>
    </row>
    <row r="164" spans="3:13" x14ac:dyDescent="0.25">
      <c r="C164" s="38"/>
      <c r="D164" s="39"/>
      <c r="M164" s="42"/>
    </row>
    <row r="165" spans="3:13" x14ac:dyDescent="0.25">
      <c r="C165" s="38"/>
      <c r="D165" s="39"/>
      <c r="M165" s="42"/>
    </row>
    <row r="166" spans="3:13" x14ac:dyDescent="0.25">
      <c r="C166" s="38"/>
      <c r="D166" s="39"/>
      <c r="M166" s="42"/>
    </row>
    <row r="167" spans="3:13" x14ac:dyDescent="0.25">
      <c r="C167" s="38"/>
      <c r="D167" s="39"/>
      <c r="M167" s="42"/>
    </row>
    <row r="168" spans="3:13" x14ac:dyDescent="0.25">
      <c r="C168" s="38"/>
      <c r="D168" s="39"/>
      <c r="M168" s="42"/>
    </row>
    <row r="169" spans="3:13" x14ac:dyDescent="0.25">
      <c r="C169" s="38"/>
      <c r="D169" s="39"/>
      <c r="M169" s="42"/>
    </row>
    <row r="170" spans="3:13" x14ac:dyDescent="0.25">
      <c r="C170" s="38"/>
      <c r="D170" s="39"/>
      <c r="M170" s="42"/>
    </row>
    <row r="171" spans="3:13" x14ac:dyDescent="0.25">
      <c r="C171" s="38"/>
      <c r="D171" s="39"/>
      <c r="M171" s="42"/>
    </row>
    <row r="172" spans="3:13" x14ac:dyDescent="0.25">
      <c r="C172" s="38"/>
      <c r="D172" s="39"/>
      <c r="M172" s="42"/>
    </row>
    <row r="173" spans="3:13" x14ac:dyDescent="0.25">
      <c r="C173" s="38"/>
      <c r="D173" s="39"/>
      <c r="M173" s="42"/>
    </row>
    <row r="174" spans="3:13" x14ac:dyDescent="0.25">
      <c r="C174" s="38"/>
      <c r="D174" s="39"/>
      <c r="M174" s="42"/>
    </row>
    <row r="175" spans="3:13" x14ac:dyDescent="0.25">
      <c r="C175" s="38"/>
      <c r="D175" s="39"/>
      <c r="M175" s="42"/>
    </row>
    <row r="176" spans="3:13" x14ac:dyDescent="0.25">
      <c r="C176" s="38"/>
      <c r="D176" s="39"/>
      <c r="M176" s="42"/>
    </row>
    <row r="177" spans="3:13" x14ac:dyDescent="0.25">
      <c r="C177" s="38"/>
      <c r="D177" s="39"/>
      <c r="M177" s="42"/>
    </row>
    <row r="178" spans="3:13" x14ac:dyDescent="0.25">
      <c r="C178" s="38"/>
      <c r="D178" s="39"/>
      <c r="M178" s="42"/>
    </row>
    <row r="179" spans="3:13" x14ac:dyDescent="0.25">
      <c r="C179" s="38"/>
      <c r="D179" s="39"/>
      <c r="M179" s="42"/>
    </row>
    <row r="180" spans="3:13" x14ac:dyDescent="0.25">
      <c r="C180" s="38"/>
      <c r="D180" s="39"/>
      <c r="M180" s="42"/>
    </row>
    <row r="181" spans="3:13" x14ac:dyDescent="0.25">
      <c r="C181" s="38"/>
      <c r="D181" s="39"/>
      <c r="M181" s="42"/>
    </row>
    <row r="182" spans="3:13" x14ac:dyDescent="0.25">
      <c r="C182" s="38"/>
      <c r="D182" s="39"/>
      <c r="M182" s="42"/>
    </row>
    <row r="183" spans="3:13" x14ac:dyDescent="0.25">
      <c r="C183" s="38"/>
      <c r="D183" s="39"/>
      <c r="M183" s="42"/>
    </row>
    <row r="184" spans="3:13" x14ac:dyDescent="0.25">
      <c r="C184" s="38"/>
      <c r="D184" s="39"/>
      <c r="M184" s="42"/>
    </row>
    <row r="185" spans="3:13" x14ac:dyDescent="0.25">
      <c r="C185" s="38"/>
      <c r="D185" s="39"/>
      <c r="M185" s="42"/>
    </row>
    <row r="186" spans="3:13" x14ac:dyDescent="0.25">
      <c r="C186" s="38"/>
      <c r="D186" s="39"/>
      <c r="M186" s="42"/>
    </row>
    <row r="187" spans="3:13" x14ac:dyDescent="0.25">
      <c r="C187" s="38"/>
      <c r="D187" s="39"/>
      <c r="M187" s="42"/>
    </row>
    <row r="188" spans="3:13" x14ac:dyDescent="0.25">
      <c r="C188" s="38"/>
      <c r="D188" s="39"/>
      <c r="M188" s="42"/>
    </row>
    <row r="189" spans="3:13" x14ac:dyDescent="0.25">
      <c r="C189" s="38"/>
      <c r="D189" s="39"/>
      <c r="M189" s="42"/>
    </row>
    <row r="190" spans="3:13" x14ac:dyDescent="0.25">
      <c r="C190" s="38"/>
      <c r="D190" s="39"/>
      <c r="M190" s="42"/>
    </row>
    <row r="191" spans="3:13" x14ac:dyDescent="0.25">
      <c r="C191" s="38"/>
      <c r="D191" s="39"/>
      <c r="M191" s="42"/>
    </row>
    <row r="192" spans="3:13" x14ac:dyDescent="0.25">
      <c r="C192" s="38"/>
      <c r="D192" s="39"/>
      <c r="M192" s="42"/>
    </row>
    <row r="193" spans="3:13" x14ac:dyDescent="0.25">
      <c r="C193" s="38"/>
      <c r="D193" s="39"/>
      <c r="M193" s="42"/>
    </row>
    <row r="194" spans="3:13" x14ac:dyDescent="0.25">
      <c r="C194" s="38"/>
      <c r="D194" s="39"/>
      <c r="M194" s="42"/>
    </row>
    <row r="195" spans="3:13" x14ac:dyDescent="0.25">
      <c r="C195" s="38"/>
      <c r="D195" s="39"/>
      <c r="M195" s="42"/>
    </row>
    <row r="196" spans="3:13" x14ac:dyDescent="0.25">
      <c r="C196" s="38"/>
      <c r="D196" s="39"/>
      <c r="M196" s="42"/>
    </row>
    <row r="197" spans="3:13" x14ac:dyDescent="0.25">
      <c r="C197" s="38"/>
      <c r="D197" s="39"/>
      <c r="M197" s="42"/>
    </row>
    <row r="198" spans="3:13" x14ac:dyDescent="0.25">
      <c r="C198" s="38"/>
      <c r="D198" s="39"/>
      <c r="M198" s="42"/>
    </row>
    <row r="199" spans="3:13" x14ac:dyDescent="0.25">
      <c r="C199" s="38"/>
      <c r="D199" s="39"/>
      <c r="M199" s="42"/>
    </row>
    <row r="200" spans="3:13" x14ac:dyDescent="0.25">
      <c r="C200" s="38"/>
      <c r="D200" s="39"/>
      <c r="M200" s="42"/>
    </row>
    <row r="201" spans="3:13" x14ac:dyDescent="0.25">
      <c r="C201" s="38"/>
      <c r="D201" s="39"/>
      <c r="M201" s="42"/>
    </row>
    <row r="202" spans="3:13" x14ac:dyDescent="0.25">
      <c r="C202" s="38"/>
      <c r="D202" s="39"/>
      <c r="M202" s="42"/>
    </row>
    <row r="203" spans="3:13" x14ac:dyDescent="0.25">
      <c r="C203" s="38"/>
      <c r="D203" s="39"/>
      <c r="M203" s="42"/>
    </row>
    <row r="204" spans="3:13" x14ac:dyDescent="0.25">
      <c r="C204" s="38"/>
      <c r="D204" s="39"/>
      <c r="M204" s="42"/>
    </row>
    <row r="205" spans="3:13" x14ac:dyDescent="0.25">
      <c r="C205" s="38"/>
      <c r="D205" s="39"/>
      <c r="M205" s="42"/>
    </row>
    <row r="206" spans="3:13" x14ac:dyDescent="0.25">
      <c r="C206" s="38"/>
      <c r="D206" s="39"/>
      <c r="M206" s="42"/>
    </row>
    <row r="207" spans="3:13" x14ac:dyDescent="0.25">
      <c r="C207" s="38"/>
      <c r="D207" s="39"/>
      <c r="M207" s="42"/>
    </row>
    <row r="208" spans="3:13" x14ac:dyDescent="0.25">
      <c r="C208" s="38"/>
      <c r="D208" s="39"/>
      <c r="M208" s="42"/>
    </row>
    <row r="209" spans="3:13" x14ac:dyDescent="0.25">
      <c r="C209" s="38"/>
      <c r="D209" s="39"/>
      <c r="M209" s="42"/>
    </row>
    <row r="210" spans="3:13" x14ac:dyDescent="0.25">
      <c r="C210" s="38"/>
      <c r="D210" s="39"/>
      <c r="M210" s="42"/>
    </row>
    <row r="211" spans="3:13" x14ac:dyDescent="0.25">
      <c r="C211" s="38"/>
      <c r="D211" s="39"/>
      <c r="M211" s="42"/>
    </row>
    <row r="212" spans="3:13" x14ac:dyDescent="0.25">
      <c r="C212" s="38"/>
      <c r="D212" s="39"/>
      <c r="M212" s="42"/>
    </row>
    <row r="213" spans="3:13" x14ac:dyDescent="0.25">
      <c r="C213" s="38"/>
      <c r="D213" s="39"/>
      <c r="M213" s="42"/>
    </row>
    <row r="214" spans="3:13" x14ac:dyDescent="0.25">
      <c r="C214" s="38"/>
      <c r="D214" s="39"/>
      <c r="M214" s="42"/>
    </row>
    <row r="215" spans="3:13" x14ac:dyDescent="0.25">
      <c r="C215" s="38"/>
      <c r="D215" s="39"/>
      <c r="M215" s="42"/>
    </row>
    <row r="216" spans="3:13" x14ac:dyDescent="0.25">
      <c r="C216" s="38"/>
      <c r="D216" s="39"/>
      <c r="M216" s="42"/>
    </row>
    <row r="217" spans="3:13" x14ac:dyDescent="0.25">
      <c r="C217" s="38"/>
      <c r="D217" s="39"/>
      <c r="M217" s="42"/>
    </row>
    <row r="218" spans="3:13" x14ac:dyDescent="0.25">
      <c r="C218" s="38"/>
      <c r="D218" s="39"/>
      <c r="M218" s="42"/>
    </row>
    <row r="219" spans="3:13" x14ac:dyDescent="0.25">
      <c r="C219" s="38"/>
      <c r="D219" s="39"/>
      <c r="M219" s="42"/>
    </row>
    <row r="220" spans="3:13" x14ac:dyDescent="0.25">
      <c r="C220" s="38"/>
      <c r="D220" s="39"/>
      <c r="M220" s="42"/>
    </row>
    <row r="221" spans="3:13" x14ac:dyDescent="0.25">
      <c r="C221" s="38"/>
      <c r="D221" s="39"/>
      <c r="M221" s="42"/>
    </row>
    <row r="222" spans="3:13" x14ac:dyDescent="0.25">
      <c r="C222" s="38"/>
      <c r="D222" s="39"/>
      <c r="M222" s="42"/>
    </row>
    <row r="223" spans="3:13" x14ac:dyDescent="0.25">
      <c r="C223" s="38"/>
      <c r="D223" s="39"/>
      <c r="M223" s="42"/>
    </row>
    <row r="224" spans="3:13" x14ac:dyDescent="0.25">
      <c r="C224" s="38"/>
      <c r="D224" s="39"/>
      <c r="M224" s="42"/>
    </row>
    <row r="225" spans="3:13" x14ac:dyDescent="0.25">
      <c r="C225" s="38"/>
      <c r="D225" s="39"/>
      <c r="M225" s="42"/>
    </row>
    <row r="226" spans="3:13" x14ac:dyDescent="0.25">
      <c r="C226" s="38"/>
      <c r="D226" s="39"/>
      <c r="M226" s="42"/>
    </row>
    <row r="227" spans="3:13" x14ac:dyDescent="0.25">
      <c r="C227" s="38"/>
      <c r="D227" s="39"/>
      <c r="M227" s="42"/>
    </row>
    <row r="228" spans="3:13" x14ac:dyDescent="0.25">
      <c r="C228" s="38"/>
      <c r="D228" s="39"/>
      <c r="M228" s="42"/>
    </row>
    <row r="229" spans="3:13" x14ac:dyDescent="0.25">
      <c r="C229" s="38"/>
      <c r="D229" s="39"/>
      <c r="M229" s="42"/>
    </row>
    <row r="230" spans="3:13" x14ac:dyDescent="0.25">
      <c r="C230" s="38"/>
      <c r="D230" s="39"/>
      <c r="M230" s="42"/>
    </row>
    <row r="231" spans="3:13" x14ac:dyDescent="0.25">
      <c r="C231" s="38"/>
      <c r="D231" s="39"/>
      <c r="M231" s="42"/>
    </row>
    <row r="232" spans="3:13" x14ac:dyDescent="0.25">
      <c r="C232" s="38"/>
      <c r="D232" s="39"/>
      <c r="M232" s="42"/>
    </row>
    <row r="233" spans="3:13" x14ac:dyDescent="0.25">
      <c r="C233" s="38"/>
      <c r="D233" s="39"/>
      <c r="M233" s="42"/>
    </row>
    <row r="234" spans="3:13" x14ac:dyDescent="0.25">
      <c r="C234" s="38"/>
      <c r="D234" s="39"/>
      <c r="M234" s="42"/>
    </row>
    <row r="235" spans="3:13" x14ac:dyDescent="0.25">
      <c r="C235" s="38"/>
      <c r="D235" s="39"/>
      <c r="M235" s="42"/>
    </row>
    <row r="236" spans="3:13" x14ac:dyDescent="0.25">
      <c r="C236" s="38"/>
      <c r="D236" s="39"/>
      <c r="M236" s="42"/>
    </row>
    <row r="237" spans="3:13" x14ac:dyDescent="0.25">
      <c r="C237" s="38"/>
      <c r="D237" s="39"/>
      <c r="M237" s="42"/>
    </row>
    <row r="238" spans="3:13" x14ac:dyDescent="0.25">
      <c r="C238" s="38"/>
      <c r="D238" s="39"/>
      <c r="M238" s="42"/>
    </row>
    <row r="239" spans="3:13" x14ac:dyDescent="0.25">
      <c r="C239" s="38"/>
      <c r="D239" s="39"/>
      <c r="M239" s="42"/>
    </row>
    <row r="240" spans="3:13" x14ac:dyDescent="0.25">
      <c r="C240" s="38"/>
      <c r="D240" s="39"/>
      <c r="M240" s="42"/>
    </row>
    <row r="241" spans="3:13" x14ac:dyDescent="0.25">
      <c r="C241" s="38"/>
      <c r="D241" s="39"/>
      <c r="M241" s="42"/>
    </row>
    <row r="242" spans="3:13" x14ac:dyDescent="0.25">
      <c r="C242" s="38"/>
      <c r="D242" s="39"/>
      <c r="M242" s="42"/>
    </row>
    <row r="243" spans="3:13" x14ac:dyDescent="0.25">
      <c r="C243" s="38"/>
      <c r="D243" s="39"/>
      <c r="M243" s="42"/>
    </row>
    <row r="244" spans="3:13" x14ac:dyDescent="0.25">
      <c r="C244" s="38"/>
      <c r="D244" s="39"/>
      <c r="M244" s="42"/>
    </row>
    <row r="245" spans="3:13" x14ac:dyDescent="0.25">
      <c r="C245" s="38"/>
      <c r="D245" s="39"/>
      <c r="M245" s="42"/>
    </row>
    <row r="246" spans="3:13" x14ac:dyDescent="0.25">
      <c r="C246" s="38"/>
      <c r="D246" s="39"/>
      <c r="M246" s="42"/>
    </row>
    <row r="247" spans="3:13" x14ac:dyDescent="0.25">
      <c r="C247" s="38"/>
      <c r="D247" s="39"/>
      <c r="M247" s="42"/>
    </row>
    <row r="248" spans="3:13" x14ac:dyDescent="0.25">
      <c r="C248" s="38"/>
      <c r="D248" s="39"/>
      <c r="M248" s="42"/>
    </row>
    <row r="249" spans="3:13" x14ac:dyDescent="0.25">
      <c r="C249" s="38"/>
      <c r="D249" s="39"/>
      <c r="M249" s="42"/>
    </row>
    <row r="250" spans="3:13" x14ac:dyDescent="0.25">
      <c r="C250" s="38"/>
      <c r="D250" s="39"/>
      <c r="M250" s="42"/>
    </row>
    <row r="251" spans="3:13" x14ac:dyDescent="0.25">
      <c r="C251" s="38"/>
      <c r="D251" s="39"/>
      <c r="M251" s="42"/>
    </row>
    <row r="252" spans="3:13" x14ac:dyDescent="0.25">
      <c r="C252" s="38"/>
      <c r="D252" s="39"/>
      <c r="M252" s="42"/>
    </row>
    <row r="253" spans="3:13" x14ac:dyDescent="0.25">
      <c r="C253" s="38"/>
      <c r="D253" s="39"/>
      <c r="M253" s="42"/>
    </row>
    <row r="254" spans="3:13" x14ac:dyDescent="0.25">
      <c r="C254" s="38"/>
      <c r="D254" s="39"/>
      <c r="M254" s="42"/>
    </row>
    <row r="255" spans="3:13" x14ac:dyDescent="0.25">
      <c r="C255" s="38"/>
      <c r="D255" s="39"/>
      <c r="M255" s="42"/>
    </row>
    <row r="256" spans="3:13" x14ac:dyDescent="0.25">
      <c r="C256" s="38"/>
      <c r="D256" s="39"/>
      <c r="M256" s="42"/>
    </row>
    <row r="257" spans="3:13" x14ac:dyDescent="0.25">
      <c r="C257" s="38"/>
      <c r="D257" s="39"/>
      <c r="M257" s="42"/>
    </row>
    <row r="258" spans="3:13" x14ac:dyDescent="0.25">
      <c r="C258" s="38"/>
      <c r="D258" s="39"/>
      <c r="M258" s="42"/>
    </row>
    <row r="259" spans="3:13" x14ac:dyDescent="0.25">
      <c r="C259" s="38"/>
      <c r="D259" s="39"/>
      <c r="M259" s="42"/>
    </row>
    <row r="260" spans="3:13" x14ac:dyDescent="0.25">
      <c r="C260" s="38"/>
      <c r="D260" s="39"/>
      <c r="M260" s="42"/>
    </row>
    <row r="261" spans="3:13" x14ac:dyDescent="0.25">
      <c r="C261" s="38"/>
      <c r="D261" s="39"/>
      <c r="M261" s="42"/>
    </row>
    <row r="262" spans="3:13" x14ac:dyDescent="0.25">
      <c r="C262" s="38"/>
      <c r="D262" s="39"/>
      <c r="M262" s="42"/>
    </row>
    <row r="263" spans="3:13" x14ac:dyDescent="0.25">
      <c r="C263" s="38"/>
      <c r="D263" s="39"/>
      <c r="M263" s="42"/>
    </row>
    <row r="264" spans="3:13" x14ac:dyDescent="0.25">
      <c r="C264" s="38"/>
      <c r="D264" s="39"/>
      <c r="M264" s="42"/>
    </row>
    <row r="265" spans="3:13" x14ac:dyDescent="0.25">
      <c r="C265" s="38"/>
      <c r="D265" s="39"/>
      <c r="M265" s="42"/>
    </row>
    <row r="266" spans="3:13" x14ac:dyDescent="0.25">
      <c r="C266" s="38"/>
      <c r="D266" s="39"/>
      <c r="M266" s="42"/>
    </row>
    <row r="267" spans="3:13" x14ac:dyDescent="0.25">
      <c r="C267" s="38"/>
      <c r="D267" s="39"/>
      <c r="M267" s="42"/>
    </row>
    <row r="268" spans="3:13" x14ac:dyDescent="0.25">
      <c r="C268" s="38"/>
      <c r="D268" s="39"/>
      <c r="M268" s="42"/>
    </row>
    <row r="269" spans="3:13" x14ac:dyDescent="0.25">
      <c r="C269" s="38"/>
      <c r="D269" s="39"/>
      <c r="M269" s="42"/>
    </row>
    <row r="270" spans="3:13" x14ac:dyDescent="0.25">
      <c r="C270" s="38"/>
      <c r="D270" s="39"/>
      <c r="M270" s="42"/>
    </row>
    <row r="271" spans="3:13" x14ac:dyDescent="0.25">
      <c r="C271" s="38"/>
      <c r="D271" s="39"/>
      <c r="M271" s="42"/>
    </row>
    <row r="272" spans="3:13" x14ac:dyDescent="0.25">
      <c r="C272" s="38"/>
      <c r="D272" s="39"/>
      <c r="M272" s="42"/>
    </row>
    <row r="273" spans="3:13" x14ac:dyDescent="0.25">
      <c r="C273" s="38"/>
      <c r="D273" s="39"/>
      <c r="M273" s="42"/>
    </row>
    <row r="274" spans="3:13" x14ac:dyDescent="0.25">
      <c r="C274" s="38"/>
      <c r="D274" s="39"/>
      <c r="M274" s="42"/>
    </row>
    <row r="275" spans="3:13" x14ac:dyDescent="0.25">
      <c r="C275" s="38"/>
      <c r="D275" s="39"/>
      <c r="M275" s="42"/>
    </row>
    <row r="276" spans="3:13" x14ac:dyDescent="0.25">
      <c r="C276" s="38"/>
      <c r="D276" s="39"/>
      <c r="M276" s="42"/>
    </row>
    <row r="277" spans="3:13" x14ac:dyDescent="0.25">
      <c r="C277" s="38"/>
      <c r="D277" s="39"/>
      <c r="M277" s="42"/>
    </row>
    <row r="278" spans="3:13" x14ac:dyDescent="0.25">
      <c r="C278" s="38"/>
      <c r="D278" s="39"/>
      <c r="M278" s="42"/>
    </row>
    <row r="279" spans="3:13" x14ac:dyDescent="0.25">
      <c r="C279" s="38"/>
      <c r="D279" s="39"/>
      <c r="M279" s="42"/>
    </row>
    <row r="280" spans="3:13" x14ac:dyDescent="0.25">
      <c r="C280" s="38"/>
      <c r="D280" s="39"/>
      <c r="M280" s="42"/>
    </row>
    <row r="281" spans="3:13" x14ac:dyDescent="0.25">
      <c r="C281" s="38"/>
      <c r="D281" s="39"/>
      <c r="M281" s="42"/>
    </row>
    <row r="282" spans="3:13" x14ac:dyDescent="0.25">
      <c r="C282" s="38"/>
      <c r="D282" s="39"/>
      <c r="M282" s="42"/>
    </row>
    <row r="283" spans="3:13" x14ac:dyDescent="0.25">
      <c r="C283" s="38"/>
      <c r="D283" s="39"/>
      <c r="M283" s="42"/>
    </row>
    <row r="284" spans="3:13" x14ac:dyDescent="0.25">
      <c r="C284" s="38"/>
      <c r="D284" s="39"/>
      <c r="M284" s="42"/>
    </row>
    <row r="285" spans="3:13" x14ac:dyDescent="0.25">
      <c r="C285" s="38"/>
      <c r="D285" s="39"/>
      <c r="M285" s="42"/>
    </row>
    <row r="286" spans="3:13" x14ac:dyDescent="0.25">
      <c r="C286" s="38"/>
      <c r="D286" s="39"/>
      <c r="M286" s="42"/>
    </row>
    <row r="287" spans="3:13" x14ac:dyDescent="0.25">
      <c r="C287" s="38"/>
      <c r="D287" s="39"/>
      <c r="M287" s="42"/>
    </row>
    <row r="288" spans="3:13" x14ac:dyDescent="0.25">
      <c r="C288" s="38"/>
      <c r="D288" s="39"/>
      <c r="M288" s="42"/>
    </row>
    <row r="289" spans="3:13" x14ac:dyDescent="0.25">
      <c r="C289" s="38"/>
      <c r="D289" s="39"/>
      <c r="M289" s="42"/>
    </row>
    <row r="290" spans="3:13" x14ac:dyDescent="0.25">
      <c r="C290" s="38"/>
      <c r="D290" s="39"/>
      <c r="M290" s="42"/>
    </row>
    <row r="291" spans="3:13" x14ac:dyDescent="0.25">
      <c r="C291" s="38"/>
      <c r="D291" s="39"/>
      <c r="M291" s="42"/>
    </row>
    <row r="292" spans="3:13" x14ac:dyDescent="0.25">
      <c r="C292" s="38"/>
      <c r="D292" s="39"/>
      <c r="M292" s="42"/>
    </row>
    <row r="293" spans="3:13" x14ac:dyDescent="0.25">
      <c r="C293" s="38"/>
      <c r="D293" s="39"/>
      <c r="M293" s="42"/>
    </row>
    <row r="294" spans="3:13" x14ac:dyDescent="0.25">
      <c r="C294" s="38"/>
      <c r="D294" s="39"/>
      <c r="M294" s="42"/>
    </row>
    <row r="295" spans="3:13" x14ac:dyDescent="0.25">
      <c r="C295" s="38"/>
      <c r="D295" s="39"/>
      <c r="M295" s="42"/>
    </row>
    <row r="296" spans="3:13" x14ac:dyDescent="0.25">
      <c r="C296" s="38"/>
      <c r="D296" s="39"/>
      <c r="M296" s="42"/>
    </row>
    <row r="297" spans="3:13" x14ac:dyDescent="0.25">
      <c r="C297" s="38"/>
      <c r="D297" s="39"/>
      <c r="M297" s="42"/>
    </row>
    <row r="298" spans="3:13" x14ac:dyDescent="0.25">
      <c r="C298" s="38"/>
      <c r="D298" s="39"/>
      <c r="M298" s="42"/>
    </row>
    <row r="299" spans="3:13" x14ac:dyDescent="0.25">
      <c r="C299" s="38"/>
      <c r="D299" s="39"/>
      <c r="M299" s="42"/>
    </row>
    <row r="300" spans="3:13" x14ac:dyDescent="0.25">
      <c r="C300" s="38"/>
      <c r="D300" s="39"/>
      <c r="M300" s="42"/>
    </row>
    <row r="301" spans="3:13" x14ac:dyDescent="0.25">
      <c r="C301" s="38"/>
      <c r="D301" s="39"/>
      <c r="M301" s="42"/>
    </row>
    <row r="302" spans="3:13" x14ac:dyDescent="0.25">
      <c r="C302" s="38"/>
      <c r="D302" s="39"/>
      <c r="M302" s="42"/>
    </row>
    <row r="303" spans="3:13" x14ac:dyDescent="0.25">
      <c r="C303" s="38"/>
      <c r="D303" s="39"/>
      <c r="M303" s="42"/>
    </row>
    <row r="304" spans="3:13" x14ac:dyDescent="0.25">
      <c r="C304" s="38"/>
      <c r="D304" s="39"/>
      <c r="M304" s="42"/>
    </row>
    <row r="305" spans="3:13" x14ac:dyDescent="0.25">
      <c r="C305" s="38"/>
      <c r="D305" s="39"/>
      <c r="M305" s="42"/>
    </row>
    <row r="306" spans="3:13" x14ac:dyDescent="0.25">
      <c r="C306" s="38"/>
      <c r="D306" s="39"/>
      <c r="M306" s="42"/>
    </row>
    <row r="307" spans="3:13" x14ac:dyDescent="0.25">
      <c r="C307" s="38"/>
      <c r="D307" s="39"/>
      <c r="M307" s="42"/>
    </row>
    <row r="308" spans="3:13" x14ac:dyDescent="0.25">
      <c r="C308" s="38"/>
      <c r="D308" s="39"/>
      <c r="M308" s="42"/>
    </row>
    <row r="309" spans="3:13" x14ac:dyDescent="0.25">
      <c r="C309" s="38"/>
      <c r="D309" s="39"/>
      <c r="M309" s="42"/>
    </row>
    <row r="310" spans="3:13" x14ac:dyDescent="0.25">
      <c r="C310" s="38"/>
      <c r="D310" s="39"/>
      <c r="M310" s="42"/>
    </row>
    <row r="311" spans="3:13" x14ac:dyDescent="0.25">
      <c r="C311" s="38"/>
      <c r="D311" s="39"/>
      <c r="M311" s="42"/>
    </row>
    <row r="312" spans="3:13" x14ac:dyDescent="0.25">
      <c r="C312" s="38"/>
      <c r="D312" s="39"/>
      <c r="M312" s="42"/>
    </row>
    <row r="313" spans="3:13" x14ac:dyDescent="0.25">
      <c r="C313" s="38"/>
      <c r="D313" s="39"/>
      <c r="M313" s="42"/>
    </row>
    <row r="314" spans="3:13" x14ac:dyDescent="0.25">
      <c r="C314" s="38"/>
      <c r="D314" s="39"/>
      <c r="M314" s="42"/>
    </row>
    <row r="315" spans="3:13" x14ac:dyDescent="0.25">
      <c r="C315" s="38"/>
      <c r="D315" s="39"/>
      <c r="M315" s="42"/>
    </row>
    <row r="316" spans="3:13" x14ac:dyDescent="0.25">
      <c r="C316" s="38"/>
      <c r="D316" s="39"/>
      <c r="M316" s="42"/>
    </row>
    <row r="317" spans="3:13" x14ac:dyDescent="0.25">
      <c r="C317" s="38"/>
      <c r="D317" s="39"/>
      <c r="M317" s="42"/>
    </row>
    <row r="318" spans="3:13" x14ac:dyDescent="0.25">
      <c r="C318" s="38"/>
      <c r="D318" s="39"/>
      <c r="M318" s="42"/>
    </row>
    <row r="319" spans="3:13" x14ac:dyDescent="0.25">
      <c r="C319" s="38"/>
      <c r="D319" s="39"/>
      <c r="M319" s="42"/>
    </row>
    <row r="320" spans="3:13" x14ac:dyDescent="0.25">
      <c r="C320" s="38"/>
      <c r="D320" s="39"/>
      <c r="M320" s="42"/>
    </row>
    <row r="321" spans="3:13" x14ac:dyDescent="0.25">
      <c r="C321" s="38"/>
      <c r="D321" s="39"/>
      <c r="M321" s="42"/>
    </row>
    <row r="322" spans="3:13" x14ac:dyDescent="0.25">
      <c r="C322" s="38"/>
      <c r="D322" s="39"/>
      <c r="M322" s="42"/>
    </row>
    <row r="323" spans="3:13" x14ac:dyDescent="0.25">
      <c r="C323" s="38"/>
      <c r="D323" s="39"/>
      <c r="M323" s="42"/>
    </row>
    <row r="324" spans="3:13" x14ac:dyDescent="0.25">
      <c r="C324" s="38"/>
      <c r="D324" s="39"/>
      <c r="M324" s="42"/>
    </row>
    <row r="325" spans="3:13" x14ac:dyDescent="0.25">
      <c r="C325" s="38"/>
      <c r="D325" s="39"/>
      <c r="M325" s="42"/>
    </row>
    <row r="326" spans="3:13" x14ac:dyDescent="0.25">
      <c r="C326" s="38"/>
      <c r="D326" s="39"/>
      <c r="M326" s="42"/>
    </row>
    <row r="327" spans="3:13" x14ac:dyDescent="0.25">
      <c r="C327" s="38"/>
      <c r="D327" s="39"/>
      <c r="M327" s="42"/>
    </row>
    <row r="328" spans="3:13" x14ac:dyDescent="0.25">
      <c r="C328" s="38"/>
      <c r="D328" s="39"/>
      <c r="M328" s="42"/>
    </row>
    <row r="329" spans="3:13" x14ac:dyDescent="0.25">
      <c r="C329" s="38"/>
      <c r="D329" s="39"/>
      <c r="M329" s="42"/>
    </row>
    <row r="330" spans="3:13" x14ac:dyDescent="0.25">
      <c r="C330" s="38"/>
      <c r="D330" s="39"/>
      <c r="M330" s="42"/>
    </row>
    <row r="331" spans="3:13" x14ac:dyDescent="0.25">
      <c r="C331" s="38"/>
      <c r="D331" s="39"/>
      <c r="M331" s="42"/>
    </row>
    <row r="332" spans="3:13" x14ac:dyDescent="0.25">
      <c r="C332" s="38"/>
      <c r="D332" s="39"/>
      <c r="M332" s="42"/>
    </row>
    <row r="333" spans="3:13" x14ac:dyDescent="0.25">
      <c r="C333" s="38"/>
      <c r="D333" s="39"/>
      <c r="M333" s="42"/>
    </row>
    <row r="334" spans="3:13" x14ac:dyDescent="0.25">
      <c r="C334" s="38"/>
      <c r="D334" s="39"/>
      <c r="M334" s="42"/>
    </row>
    <row r="335" spans="3:13" x14ac:dyDescent="0.25">
      <c r="C335" s="38"/>
      <c r="D335" s="39"/>
      <c r="M335" s="42"/>
    </row>
    <row r="336" spans="3:13" x14ac:dyDescent="0.25">
      <c r="C336" s="38"/>
      <c r="D336" s="39"/>
      <c r="M336" s="42"/>
    </row>
    <row r="337" spans="3:13" x14ac:dyDescent="0.25">
      <c r="C337" s="38"/>
      <c r="D337" s="39"/>
      <c r="M337" s="42"/>
    </row>
    <row r="338" spans="3:13" x14ac:dyDescent="0.25">
      <c r="C338" s="38"/>
      <c r="D338" s="39"/>
      <c r="M338" s="42"/>
    </row>
    <row r="339" spans="3:13" x14ac:dyDescent="0.25">
      <c r="C339" s="38"/>
      <c r="D339" s="39"/>
      <c r="M339" s="42"/>
    </row>
    <row r="340" spans="3:13" x14ac:dyDescent="0.25">
      <c r="C340" s="38"/>
      <c r="D340" s="39"/>
      <c r="M340" s="42"/>
    </row>
    <row r="341" spans="3:13" x14ac:dyDescent="0.25">
      <c r="C341" s="38"/>
      <c r="D341" s="39"/>
      <c r="M341" s="42"/>
    </row>
    <row r="342" spans="3:13" x14ac:dyDescent="0.25">
      <c r="C342" s="38"/>
      <c r="D342" s="39"/>
      <c r="M342" s="42"/>
    </row>
    <row r="343" spans="3:13" x14ac:dyDescent="0.25">
      <c r="C343" s="38"/>
      <c r="D343" s="39"/>
      <c r="M343" s="42"/>
    </row>
    <row r="344" spans="3:13" x14ac:dyDescent="0.25">
      <c r="C344" s="38"/>
      <c r="D344" s="39"/>
      <c r="M344" s="42"/>
    </row>
    <row r="345" spans="3:13" x14ac:dyDescent="0.25">
      <c r="C345" s="38"/>
      <c r="D345" s="39"/>
      <c r="M345" s="42"/>
    </row>
    <row r="346" spans="3:13" x14ac:dyDescent="0.25">
      <c r="C346" s="38"/>
      <c r="D346" s="39"/>
      <c r="M346" s="42"/>
    </row>
    <row r="347" spans="3:13" x14ac:dyDescent="0.25">
      <c r="C347" s="38"/>
      <c r="D347" s="39"/>
      <c r="M347" s="42"/>
    </row>
    <row r="348" spans="3:13" x14ac:dyDescent="0.25">
      <c r="C348" s="38"/>
      <c r="D348" s="39"/>
      <c r="M348" s="42"/>
    </row>
    <row r="349" spans="3:13" x14ac:dyDescent="0.25">
      <c r="C349" s="38"/>
      <c r="D349" s="39"/>
      <c r="M349" s="42"/>
    </row>
    <row r="350" spans="3:13" x14ac:dyDescent="0.25">
      <c r="C350" s="38"/>
      <c r="D350" s="39"/>
      <c r="M350" s="42"/>
    </row>
    <row r="351" spans="3:13" x14ac:dyDescent="0.25">
      <c r="C351" s="38"/>
      <c r="D351" s="39"/>
      <c r="M351" s="42"/>
    </row>
    <row r="352" spans="3:13" x14ac:dyDescent="0.25">
      <c r="C352" s="38"/>
      <c r="D352" s="39"/>
      <c r="M352" s="42"/>
    </row>
    <row r="353" spans="3:13" x14ac:dyDescent="0.25">
      <c r="C353" s="38"/>
      <c r="D353" s="39"/>
      <c r="M353" s="42"/>
    </row>
    <row r="354" spans="3:13" x14ac:dyDescent="0.25">
      <c r="C354" s="38"/>
      <c r="D354" s="39"/>
      <c r="M354" s="42"/>
    </row>
    <row r="355" spans="3:13" x14ac:dyDescent="0.25">
      <c r="C355" s="38"/>
      <c r="D355" s="39"/>
      <c r="M355" s="42"/>
    </row>
    <row r="356" spans="3:13" x14ac:dyDescent="0.25">
      <c r="C356" s="38"/>
      <c r="D356" s="39"/>
      <c r="M356" s="42"/>
    </row>
    <row r="357" spans="3:13" x14ac:dyDescent="0.25">
      <c r="C357" s="38"/>
      <c r="D357" s="39"/>
      <c r="M357" s="42"/>
    </row>
    <row r="358" spans="3:13" x14ac:dyDescent="0.25">
      <c r="C358" s="38"/>
      <c r="D358" s="39"/>
      <c r="M358" s="42"/>
    </row>
    <row r="359" spans="3:13" x14ac:dyDescent="0.25">
      <c r="C359" s="38"/>
      <c r="D359" s="39"/>
      <c r="M359" s="42"/>
    </row>
    <row r="360" spans="3:13" x14ac:dyDescent="0.25">
      <c r="C360" s="38"/>
      <c r="D360" s="39"/>
      <c r="M360" s="42"/>
    </row>
    <row r="361" spans="3:13" x14ac:dyDescent="0.25">
      <c r="C361" s="38"/>
      <c r="D361" s="39"/>
      <c r="M361" s="42"/>
    </row>
    <row r="362" spans="3:13" x14ac:dyDescent="0.25">
      <c r="C362" s="38"/>
      <c r="D362" s="39"/>
      <c r="M362" s="42"/>
    </row>
    <row r="363" spans="3:13" x14ac:dyDescent="0.25">
      <c r="C363" s="38"/>
      <c r="D363" s="39"/>
      <c r="M363" s="42"/>
    </row>
    <row r="364" spans="3:13" x14ac:dyDescent="0.25">
      <c r="C364" s="38"/>
      <c r="D364" s="39"/>
      <c r="M364" s="42"/>
    </row>
    <row r="365" spans="3:13" x14ac:dyDescent="0.25">
      <c r="C365" s="38"/>
      <c r="D365" s="39"/>
      <c r="M365" s="42"/>
    </row>
    <row r="366" spans="3:13" x14ac:dyDescent="0.25">
      <c r="C366" s="38"/>
      <c r="D366" s="39"/>
      <c r="M366" s="42"/>
    </row>
    <row r="367" spans="3:13" x14ac:dyDescent="0.25">
      <c r="C367" s="38"/>
      <c r="D367" s="39"/>
      <c r="M367" s="42"/>
    </row>
    <row r="368" spans="3:13" x14ac:dyDescent="0.25">
      <c r="C368" s="38"/>
      <c r="D368" s="39"/>
      <c r="M368" s="42"/>
    </row>
    <row r="369" spans="3:13" x14ac:dyDescent="0.25">
      <c r="C369" s="38"/>
      <c r="D369" s="39"/>
      <c r="M369" s="42"/>
    </row>
    <row r="370" spans="3:13" x14ac:dyDescent="0.25">
      <c r="C370" s="38"/>
      <c r="D370" s="39"/>
      <c r="M370" s="42"/>
    </row>
    <row r="371" spans="3:13" x14ac:dyDescent="0.25">
      <c r="C371" s="38"/>
      <c r="D371" s="39"/>
      <c r="M371" s="42"/>
    </row>
    <row r="372" spans="3:13" x14ac:dyDescent="0.25">
      <c r="C372" s="38"/>
      <c r="D372" s="39"/>
      <c r="M372" s="42"/>
    </row>
    <row r="373" spans="3:13" x14ac:dyDescent="0.25">
      <c r="C373" s="38"/>
      <c r="D373" s="39"/>
      <c r="M373" s="42"/>
    </row>
    <row r="374" spans="3:13" x14ac:dyDescent="0.25">
      <c r="C374" s="38"/>
      <c r="D374" s="39"/>
      <c r="M374" s="42"/>
    </row>
    <row r="375" spans="3:13" x14ac:dyDescent="0.25">
      <c r="C375" s="38"/>
      <c r="D375" s="39"/>
      <c r="M375" s="42"/>
    </row>
    <row r="376" spans="3:13" x14ac:dyDescent="0.25">
      <c r="C376" s="38"/>
      <c r="D376" s="39"/>
      <c r="M376" s="42"/>
    </row>
    <row r="377" spans="3:13" x14ac:dyDescent="0.25">
      <c r="C377" s="38"/>
      <c r="D377" s="39"/>
      <c r="M377" s="42"/>
    </row>
    <row r="378" spans="3:13" x14ac:dyDescent="0.25">
      <c r="C378" s="38"/>
      <c r="D378" s="39"/>
      <c r="M378" s="42"/>
    </row>
    <row r="379" spans="3:13" x14ac:dyDescent="0.25">
      <c r="C379" s="38"/>
      <c r="D379" s="39"/>
      <c r="M379" s="42"/>
    </row>
    <row r="380" spans="3:13" x14ac:dyDescent="0.25">
      <c r="C380" s="38"/>
      <c r="D380" s="39"/>
      <c r="M380" s="42"/>
    </row>
    <row r="381" spans="3:13" x14ac:dyDescent="0.25">
      <c r="C381" s="38"/>
      <c r="D381" s="39"/>
      <c r="M381" s="42"/>
    </row>
    <row r="382" spans="3:13" x14ac:dyDescent="0.25">
      <c r="C382" s="38"/>
      <c r="D382" s="39"/>
      <c r="M382" s="42"/>
    </row>
    <row r="383" spans="3:13" x14ac:dyDescent="0.25">
      <c r="C383" s="38"/>
      <c r="D383" s="39"/>
      <c r="M383" s="42"/>
    </row>
    <row r="384" spans="3:13" x14ac:dyDescent="0.25">
      <c r="C384" s="38"/>
      <c r="D384" s="39"/>
      <c r="M384" s="42"/>
    </row>
    <row r="385" spans="3:13" x14ac:dyDescent="0.25">
      <c r="C385" s="38"/>
      <c r="D385" s="39"/>
      <c r="M385" s="42"/>
    </row>
    <row r="386" spans="3:13" x14ac:dyDescent="0.25">
      <c r="C386" s="38"/>
      <c r="D386" s="39"/>
      <c r="M386" s="42"/>
    </row>
    <row r="387" spans="3:13" x14ac:dyDescent="0.25">
      <c r="C387" s="38"/>
      <c r="D387" s="39"/>
      <c r="M387" s="42"/>
    </row>
    <row r="388" spans="3:13" x14ac:dyDescent="0.25">
      <c r="C388" s="38"/>
      <c r="D388" s="39"/>
      <c r="M388" s="42"/>
    </row>
    <row r="389" spans="3:13" x14ac:dyDescent="0.25">
      <c r="C389" s="38"/>
      <c r="D389" s="39"/>
      <c r="M389" s="42"/>
    </row>
    <row r="390" spans="3:13" x14ac:dyDescent="0.25">
      <c r="C390" s="38"/>
      <c r="D390" s="39"/>
      <c r="M390" s="42"/>
    </row>
    <row r="391" spans="3:13" x14ac:dyDescent="0.25">
      <c r="C391" s="38"/>
      <c r="D391" s="39"/>
      <c r="M391" s="42"/>
    </row>
    <row r="392" spans="3:13" x14ac:dyDescent="0.25">
      <c r="C392" s="38"/>
      <c r="D392" s="39"/>
      <c r="M392" s="42"/>
    </row>
    <row r="393" spans="3:13" x14ac:dyDescent="0.25">
      <c r="C393" s="38"/>
      <c r="D393" s="39"/>
      <c r="M393" s="42"/>
    </row>
    <row r="394" spans="3:13" x14ac:dyDescent="0.25">
      <c r="C394" s="38"/>
      <c r="D394" s="39"/>
      <c r="M394" s="42"/>
    </row>
    <row r="395" spans="3:13" x14ac:dyDescent="0.25">
      <c r="C395" s="38"/>
      <c r="D395" s="39"/>
      <c r="M395" s="42"/>
    </row>
    <row r="396" spans="3:13" x14ac:dyDescent="0.25">
      <c r="C396" s="38"/>
      <c r="D396" s="39"/>
      <c r="M396" s="42"/>
    </row>
    <row r="397" spans="3:13" x14ac:dyDescent="0.25">
      <c r="C397" s="38"/>
      <c r="D397" s="39"/>
      <c r="M397" s="42"/>
    </row>
    <row r="398" spans="3:13" x14ac:dyDescent="0.25">
      <c r="C398" s="38"/>
      <c r="D398" s="39"/>
      <c r="M398" s="42"/>
    </row>
    <row r="399" spans="3:13" x14ac:dyDescent="0.25">
      <c r="C399" s="38"/>
      <c r="D399" s="39"/>
      <c r="M399" s="42"/>
    </row>
    <row r="400" spans="3:13" x14ac:dyDescent="0.25">
      <c r="C400" s="38"/>
      <c r="D400" s="39"/>
      <c r="M400" s="42"/>
    </row>
    <row r="401" spans="3:13" x14ac:dyDescent="0.25">
      <c r="C401" s="38"/>
      <c r="D401" s="39"/>
      <c r="M401" s="42"/>
    </row>
    <row r="402" spans="3:13" x14ac:dyDescent="0.25">
      <c r="C402" s="38"/>
      <c r="D402" s="39"/>
      <c r="M402" s="42"/>
    </row>
    <row r="403" spans="3:13" x14ac:dyDescent="0.25">
      <c r="C403" s="38"/>
      <c r="D403" s="39"/>
      <c r="M403" s="42"/>
    </row>
    <row r="404" spans="3:13" x14ac:dyDescent="0.25">
      <c r="C404" s="38"/>
      <c r="D404" s="39"/>
      <c r="M404" s="42"/>
    </row>
    <row r="405" spans="3:13" x14ac:dyDescent="0.25">
      <c r="C405" s="38"/>
      <c r="D405" s="39"/>
      <c r="M405" s="42"/>
    </row>
    <row r="406" spans="3:13" x14ac:dyDescent="0.25">
      <c r="C406" s="38"/>
      <c r="D406" s="39"/>
      <c r="M406" s="42"/>
    </row>
    <row r="407" spans="3:13" x14ac:dyDescent="0.25">
      <c r="C407" s="38"/>
      <c r="D407" s="39"/>
      <c r="M407" s="42"/>
    </row>
    <row r="408" spans="3:13" x14ac:dyDescent="0.25">
      <c r="C408" s="38"/>
      <c r="D408" s="39"/>
      <c r="M408" s="42"/>
    </row>
    <row r="409" spans="3:13" x14ac:dyDescent="0.25">
      <c r="C409" s="38"/>
      <c r="D409" s="39"/>
      <c r="M409" s="42"/>
    </row>
    <row r="410" spans="3:13" x14ac:dyDescent="0.25">
      <c r="C410" s="38"/>
      <c r="D410" s="39"/>
      <c r="M410" s="42"/>
    </row>
    <row r="411" spans="3:13" x14ac:dyDescent="0.25">
      <c r="C411" s="38"/>
      <c r="D411" s="39"/>
      <c r="M411" s="42"/>
    </row>
    <row r="412" spans="3:13" x14ac:dyDescent="0.25">
      <c r="C412" s="38"/>
      <c r="D412" s="39"/>
      <c r="M412" s="42"/>
    </row>
    <row r="413" spans="3:13" x14ac:dyDescent="0.25">
      <c r="C413" s="38"/>
      <c r="D413" s="39"/>
      <c r="M413" s="42"/>
    </row>
    <row r="414" spans="3:13" x14ac:dyDescent="0.25">
      <c r="C414" s="38"/>
      <c r="D414" s="39"/>
      <c r="M414" s="42"/>
    </row>
    <row r="415" spans="3:13" x14ac:dyDescent="0.25">
      <c r="C415" s="38"/>
      <c r="D415" s="39"/>
      <c r="M415" s="42"/>
    </row>
    <row r="416" spans="3:13" x14ac:dyDescent="0.25">
      <c r="C416" s="38"/>
      <c r="D416" s="39"/>
      <c r="M416" s="42"/>
    </row>
    <row r="417" spans="3:13" x14ac:dyDescent="0.25">
      <c r="C417" s="38"/>
      <c r="D417" s="39"/>
      <c r="M417" s="42"/>
    </row>
    <row r="418" spans="3:13" x14ac:dyDescent="0.25">
      <c r="C418" s="38"/>
      <c r="D418" s="39"/>
      <c r="M418" s="42"/>
    </row>
    <row r="419" spans="3:13" x14ac:dyDescent="0.25">
      <c r="C419" s="38"/>
      <c r="D419" s="39"/>
      <c r="M419" s="42"/>
    </row>
    <row r="420" spans="3:13" x14ac:dyDescent="0.25">
      <c r="C420" s="38"/>
      <c r="D420" s="39"/>
      <c r="M420" s="42"/>
    </row>
    <row r="421" spans="3:13" x14ac:dyDescent="0.25">
      <c r="C421" s="38"/>
      <c r="D421" s="39"/>
      <c r="M421" s="42"/>
    </row>
    <row r="422" spans="3:13" x14ac:dyDescent="0.25">
      <c r="C422" s="38"/>
      <c r="D422" s="39"/>
      <c r="M422" s="42"/>
    </row>
    <row r="423" spans="3:13" x14ac:dyDescent="0.25">
      <c r="C423" s="38"/>
      <c r="D423" s="39"/>
      <c r="M423" s="42"/>
    </row>
    <row r="424" spans="3:13" x14ac:dyDescent="0.25">
      <c r="C424" s="38"/>
      <c r="D424" s="39"/>
      <c r="M424" s="42"/>
    </row>
    <row r="425" spans="3:13" x14ac:dyDescent="0.25">
      <c r="C425" s="38"/>
      <c r="D425" s="39"/>
      <c r="M425" s="42"/>
    </row>
    <row r="426" spans="3:13" x14ac:dyDescent="0.25">
      <c r="C426" s="38"/>
      <c r="D426" s="39"/>
      <c r="M426" s="42"/>
    </row>
    <row r="427" spans="3:13" x14ac:dyDescent="0.25">
      <c r="C427" s="38"/>
      <c r="D427" s="39"/>
      <c r="M427" s="42"/>
    </row>
    <row r="428" spans="3:13" x14ac:dyDescent="0.25">
      <c r="C428" s="38"/>
      <c r="D428" s="39"/>
      <c r="M428" s="42"/>
    </row>
    <row r="429" spans="3:13" x14ac:dyDescent="0.25">
      <c r="C429" s="38"/>
      <c r="D429" s="39"/>
      <c r="M429" s="42"/>
    </row>
    <row r="430" spans="3:13" x14ac:dyDescent="0.25">
      <c r="C430" s="38"/>
      <c r="D430" s="39"/>
      <c r="M430" s="42"/>
    </row>
    <row r="431" spans="3:13" x14ac:dyDescent="0.25">
      <c r="C431" s="38"/>
      <c r="D431" s="39"/>
      <c r="M431" s="42"/>
    </row>
    <row r="432" spans="3:13" x14ac:dyDescent="0.25">
      <c r="C432" s="38"/>
      <c r="D432" s="39"/>
      <c r="M432" s="42"/>
    </row>
    <row r="433" spans="3:13" x14ac:dyDescent="0.25">
      <c r="C433" s="38"/>
      <c r="D433" s="39"/>
      <c r="M433" s="42"/>
    </row>
    <row r="434" spans="3:13" x14ac:dyDescent="0.25">
      <c r="C434" s="38"/>
      <c r="D434" s="39"/>
      <c r="M434" s="42"/>
    </row>
    <row r="435" spans="3:13" x14ac:dyDescent="0.25">
      <c r="C435" s="38"/>
      <c r="D435" s="39"/>
      <c r="M435" s="42"/>
    </row>
    <row r="436" spans="3:13" x14ac:dyDescent="0.25">
      <c r="C436" s="38"/>
      <c r="D436" s="39"/>
      <c r="M436" s="42"/>
    </row>
    <row r="437" spans="3:13" x14ac:dyDescent="0.25">
      <c r="C437" s="38"/>
      <c r="D437" s="39"/>
      <c r="M437" s="42"/>
    </row>
    <row r="438" spans="3:13" x14ac:dyDescent="0.25">
      <c r="C438" s="38"/>
      <c r="D438" s="39"/>
      <c r="M438" s="42"/>
    </row>
    <row r="439" spans="3:13" x14ac:dyDescent="0.25">
      <c r="C439" s="38"/>
      <c r="D439" s="39"/>
      <c r="M439" s="42"/>
    </row>
    <row r="440" spans="3:13" x14ac:dyDescent="0.25">
      <c r="C440" s="38"/>
      <c r="D440" s="39"/>
      <c r="M440" s="42"/>
    </row>
    <row r="441" spans="3:13" x14ac:dyDescent="0.25">
      <c r="C441" s="38"/>
      <c r="D441" s="39"/>
      <c r="M441" s="42"/>
    </row>
    <row r="442" spans="3:13" x14ac:dyDescent="0.25">
      <c r="C442" s="38"/>
      <c r="D442" s="39"/>
      <c r="M442" s="42"/>
    </row>
    <row r="443" spans="3:13" x14ac:dyDescent="0.25">
      <c r="C443" s="38"/>
      <c r="D443" s="39"/>
      <c r="M443" s="42"/>
    </row>
    <row r="444" spans="3:13" x14ac:dyDescent="0.25">
      <c r="C444" s="38"/>
      <c r="D444" s="39"/>
      <c r="M444" s="42"/>
    </row>
    <row r="445" spans="3:13" x14ac:dyDescent="0.25">
      <c r="C445" s="38"/>
      <c r="D445" s="39"/>
      <c r="M445" s="42"/>
    </row>
    <row r="446" spans="3:13" x14ac:dyDescent="0.25">
      <c r="C446" s="38"/>
      <c r="D446" s="39"/>
      <c r="M446" s="42"/>
    </row>
    <row r="447" spans="3:13" x14ac:dyDescent="0.25">
      <c r="C447" s="38"/>
      <c r="D447" s="39"/>
      <c r="M447" s="42"/>
    </row>
    <row r="448" spans="3:13" x14ac:dyDescent="0.25">
      <c r="C448" s="38"/>
      <c r="D448" s="39"/>
      <c r="M448" s="42"/>
    </row>
    <row r="449" spans="3:13" x14ac:dyDescent="0.25">
      <c r="C449" s="38"/>
      <c r="D449" s="39"/>
      <c r="M449" s="42"/>
    </row>
    <row r="450" spans="3:13" x14ac:dyDescent="0.25">
      <c r="C450" s="38"/>
      <c r="D450" s="39"/>
      <c r="M450" s="42"/>
    </row>
    <row r="451" spans="3:13" x14ac:dyDescent="0.25">
      <c r="C451" s="38"/>
      <c r="D451" s="39"/>
      <c r="M451" s="42"/>
    </row>
    <row r="452" spans="3:13" x14ac:dyDescent="0.25">
      <c r="C452" s="38"/>
      <c r="D452" s="39"/>
      <c r="M452" s="42"/>
    </row>
    <row r="453" spans="3:13" x14ac:dyDescent="0.25">
      <c r="C453" s="38"/>
      <c r="D453" s="39"/>
      <c r="M453" s="42"/>
    </row>
    <row r="454" spans="3:13" x14ac:dyDescent="0.25">
      <c r="C454" s="38"/>
      <c r="D454" s="39"/>
      <c r="M454" s="42"/>
    </row>
    <row r="455" spans="3:13" x14ac:dyDescent="0.25">
      <c r="C455" s="38"/>
      <c r="D455" s="39"/>
      <c r="M455" s="42"/>
    </row>
    <row r="456" spans="3:13" x14ac:dyDescent="0.25">
      <c r="C456" s="38"/>
      <c r="D456" s="39"/>
      <c r="M456" s="42"/>
    </row>
    <row r="457" spans="3:13" x14ac:dyDescent="0.25">
      <c r="C457" s="38"/>
      <c r="D457" s="39"/>
    </row>
    <row r="458" spans="3:13" x14ac:dyDescent="0.25">
      <c r="C458" s="38"/>
      <c r="D458" s="39"/>
    </row>
    <row r="459" spans="3:13" x14ac:dyDescent="0.25">
      <c r="C459" s="38"/>
      <c r="D459" s="39"/>
    </row>
    <row r="460" spans="3:13" x14ac:dyDescent="0.25">
      <c r="C460" s="38"/>
      <c r="D460" s="39"/>
    </row>
    <row r="461" spans="3:13" x14ac:dyDescent="0.25">
      <c r="C461" s="38"/>
      <c r="D461" s="39"/>
    </row>
    <row r="462" spans="3:13" x14ac:dyDescent="0.25">
      <c r="C462" s="38"/>
      <c r="D462" s="39"/>
    </row>
    <row r="463" spans="3:13" x14ac:dyDescent="0.25">
      <c r="C463" s="38"/>
      <c r="D463" s="3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O2694"/>
  <sheetViews>
    <sheetView workbookViewId="0">
      <selection activeCell="A2" sqref="A2"/>
    </sheetView>
  </sheetViews>
  <sheetFormatPr defaultRowHeight="15" x14ac:dyDescent="0.25"/>
  <cols>
    <col min="1" max="1" width="6.7109375" bestFit="1" customWidth="1"/>
    <col min="2" max="2" width="9" bestFit="1" customWidth="1"/>
    <col min="3" max="4" width="15.28515625" bestFit="1" customWidth="1"/>
    <col min="5" max="5" width="7.7109375" bestFit="1" customWidth="1"/>
    <col min="6" max="6" width="15.5703125" bestFit="1" customWidth="1"/>
    <col min="7" max="7" width="19.7109375" bestFit="1" customWidth="1"/>
    <col min="8" max="8" width="7.5703125" bestFit="1" customWidth="1"/>
    <col min="9" max="9" width="8.28515625" bestFit="1" customWidth="1"/>
    <col min="10" max="10" width="14.28515625" bestFit="1" customWidth="1"/>
    <col min="11" max="11" width="8" bestFit="1" customWidth="1"/>
    <col min="12" max="12" width="12.7109375" bestFit="1" customWidth="1"/>
  </cols>
  <sheetData>
    <row r="1" spans="1:15" ht="15.75" thickBot="1" x14ac:dyDescent="0.3">
      <c r="A1" s="40" t="s">
        <v>90</v>
      </c>
      <c r="B1" s="40" t="s">
        <v>91</v>
      </c>
      <c r="C1" s="40" t="s">
        <v>92</v>
      </c>
      <c r="D1" s="40" t="s">
        <v>93</v>
      </c>
      <c r="E1" s="40" t="s">
        <v>94</v>
      </c>
      <c r="F1" s="40" t="s">
        <v>95</v>
      </c>
      <c r="G1" s="40" t="s">
        <v>96</v>
      </c>
      <c r="H1" s="40" t="s">
        <v>97</v>
      </c>
      <c r="I1" s="40" t="s">
        <v>98</v>
      </c>
      <c r="J1" s="40" t="s">
        <v>99</v>
      </c>
      <c r="K1" s="40" t="s">
        <v>100</v>
      </c>
    </row>
    <row r="2" spans="1:15" ht="15.75" thickTop="1" x14ac:dyDescent="0.25">
      <c r="A2">
        <v>392</v>
      </c>
      <c r="B2">
        <v>11230496</v>
      </c>
      <c r="C2" s="38">
        <v>35731</v>
      </c>
      <c r="D2" s="39">
        <v>42402</v>
      </c>
      <c r="E2">
        <v>12</v>
      </c>
      <c r="F2">
        <v>100000</v>
      </c>
      <c r="G2">
        <v>0.01</v>
      </c>
      <c r="H2">
        <v>0</v>
      </c>
      <c r="I2">
        <v>0</v>
      </c>
      <c r="J2" t="s">
        <v>89</v>
      </c>
      <c r="K2">
        <v>19</v>
      </c>
      <c r="N2">
        <v>7</v>
      </c>
      <c r="O2" t="str">
        <f>A2&amp;"_1"</f>
        <v>392_1</v>
      </c>
    </row>
    <row r="3" spans="1:15" x14ac:dyDescent="0.25">
      <c r="A3">
        <v>392</v>
      </c>
      <c r="B3">
        <v>11230496</v>
      </c>
      <c r="C3" s="38">
        <v>35366</v>
      </c>
      <c r="D3" s="39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20</v>
      </c>
      <c r="N3">
        <v>7</v>
      </c>
      <c r="O3" t="str">
        <f t="shared" ref="O3:O52" si="0">A3&amp;"_1"</f>
        <v>392_1</v>
      </c>
    </row>
    <row r="4" spans="1:15" x14ac:dyDescent="0.25">
      <c r="A4">
        <v>392</v>
      </c>
      <c r="B4">
        <v>11230496</v>
      </c>
      <c r="C4" s="38">
        <v>35000</v>
      </c>
      <c r="D4" s="39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21</v>
      </c>
      <c r="N4">
        <v>7</v>
      </c>
      <c r="O4" t="str">
        <f t="shared" si="0"/>
        <v>392_1</v>
      </c>
    </row>
    <row r="5" spans="1:15" x14ac:dyDescent="0.25">
      <c r="A5">
        <v>392</v>
      </c>
      <c r="B5">
        <v>11230496</v>
      </c>
      <c r="C5" s="38">
        <v>34635</v>
      </c>
      <c r="D5" s="39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22</v>
      </c>
      <c r="N5">
        <v>7</v>
      </c>
      <c r="O5" t="str">
        <f t="shared" si="0"/>
        <v>392_1</v>
      </c>
    </row>
    <row r="6" spans="1:15" x14ac:dyDescent="0.25">
      <c r="A6">
        <v>392</v>
      </c>
      <c r="B6">
        <v>11230496</v>
      </c>
      <c r="C6" s="38">
        <v>34270</v>
      </c>
      <c r="D6" s="39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23</v>
      </c>
      <c r="N6">
        <v>7</v>
      </c>
      <c r="O6" t="str">
        <f t="shared" si="0"/>
        <v>392_1</v>
      </c>
    </row>
    <row r="7" spans="1:15" x14ac:dyDescent="0.25">
      <c r="A7">
        <v>392</v>
      </c>
      <c r="B7">
        <v>11230496</v>
      </c>
      <c r="C7" s="38">
        <v>33905</v>
      </c>
      <c r="D7" s="39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24</v>
      </c>
      <c r="N7">
        <v>7</v>
      </c>
      <c r="O7" t="str">
        <f t="shared" si="0"/>
        <v>392_1</v>
      </c>
    </row>
    <row r="8" spans="1:15" x14ac:dyDescent="0.25">
      <c r="A8">
        <v>392</v>
      </c>
      <c r="B8">
        <v>11230496</v>
      </c>
      <c r="C8" s="38">
        <v>33539</v>
      </c>
      <c r="D8" s="39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25</v>
      </c>
      <c r="N8">
        <v>7</v>
      </c>
      <c r="O8" t="str">
        <f t="shared" si="0"/>
        <v>392_1</v>
      </c>
    </row>
    <row r="9" spans="1:15" x14ac:dyDescent="0.25">
      <c r="A9">
        <v>392</v>
      </c>
      <c r="B9">
        <v>11230496</v>
      </c>
      <c r="C9" s="38">
        <v>33174</v>
      </c>
      <c r="D9" s="39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26</v>
      </c>
      <c r="N9">
        <v>7</v>
      </c>
      <c r="O9" t="str">
        <f t="shared" si="0"/>
        <v>392_1</v>
      </c>
    </row>
    <row r="10" spans="1:15" x14ac:dyDescent="0.25">
      <c r="A10">
        <v>392</v>
      </c>
      <c r="B10">
        <v>11230496</v>
      </c>
      <c r="C10" s="38">
        <v>32809</v>
      </c>
      <c r="D10" s="39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27</v>
      </c>
      <c r="N10">
        <v>7</v>
      </c>
      <c r="O10" t="str">
        <f t="shared" si="0"/>
        <v>392_1</v>
      </c>
    </row>
    <row r="11" spans="1:15" x14ac:dyDescent="0.25">
      <c r="A11">
        <v>392</v>
      </c>
      <c r="B11">
        <v>11230496</v>
      </c>
      <c r="C11" s="38">
        <v>32444</v>
      </c>
      <c r="D11" s="39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28</v>
      </c>
      <c r="N11">
        <v>7</v>
      </c>
      <c r="O11" t="str">
        <f t="shared" si="0"/>
        <v>392_1</v>
      </c>
    </row>
    <row r="12" spans="1:15" x14ac:dyDescent="0.25">
      <c r="A12">
        <v>392</v>
      </c>
      <c r="B12">
        <v>11230496</v>
      </c>
      <c r="C12" s="38">
        <v>32078</v>
      </c>
      <c r="D12" s="39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29</v>
      </c>
      <c r="N12">
        <v>7</v>
      </c>
      <c r="O12" t="str">
        <f t="shared" si="0"/>
        <v>392_1</v>
      </c>
    </row>
    <row r="13" spans="1:15" x14ac:dyDescent="0.25">
      <c r="A13">
        <v>392</v>
      </c>
      <c r="B13">
        <v>11230496</v>
      </c>
      <c r="C13" s="38">
        <v>31713</v>
      </c>
      <c r="D13" s="39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30</v>
      </c>
      <c r="N13">
        <v>7</v>
      </c>
      <c r="O13" t="str">
        <f t="shared" si="0"/>
        <v>392_1</v>
      </c>
    </row>
    <row r="14" spans="1:15" x14ac:dyDescent="0.25">
      <c r="A14">
        <v>392</v>
      </c>
      <c r="B14">
        <v>11230496</v>
      </c>
      <c r="C14" s="38">
        <v>31348</v>
      </c>
      <c r="D14" s="39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31</v>
      </c>
      <c r="N14">
        <v>7</v>
      </c>
      <c r="O14" t="str">
        <f t="shared" si="0"/>
        <v>392_1</v>
      </c>
    </row>
    <row r="15" spans="1:15" x14ac:dyDescent="0.25">
      <c r="A15">
        <v>392</v>
      </c>
      <c r="B15">
        <v>11230496</v>
      </c>
      <c r="C15" s="38">
        <v>30983</v>
      </c>
      <c r="D15" s="39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32</v>
      </c>
      <c r="N15">
        <v>7</v>
      </c>
      <c r="O15" t="str">
        <f t="shared" si="0"/>
        <v>392_1</v>
      </c>
    </row>
    <row r="16" spans="1:15" x14ac:dyDescent="0.25">
      <c r="A16">
        <v>392</v>
      </c>
      <c r="B16">
        <v>11230496</v>
      </c>
      <c r="C16" s="38">
        <v>30617</v>
      </c>
      <c r="D16" s="39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33</v>
      </c>
      <c r="N16">
        <v>7</v>
      </c>
      <c r="O16" t="str">
        <f t="shared" si="0"/>
        <v>392_1</v>
      </c>
    </row>
    <row r="17" spans="1:15" x14ac:dyDescent="0.25">
      <c r="A17">
        <v>392</v>
      </c>
      <c r="B17">
        <v>11230496</v>
      </c>
      <c r="C17" s="38">
        <v>30252</v>
      </c>
      <c r="D17" s="39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34</v>
      </c>
      <c r="N17">
        <v>7</v>
      </c>
      <c r="O17" t="str">
        <f t="shared" si="0"/>
        <v>392_1</v>
      </c>
    </row>
    <row r="18" spans="1:15" x14ac:dyDescent="0.25">
      <c r="A18">
        <v>392</v>
      </c>
      <c r="B18">
        <v>11230496</v>
      </c>
      <c r="C18" s="38">
        <v>29887</v>
      </c>
      <c r="D18" s="39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35</v>
      </c>
      <c r="N18">
        <v>7</v>
      </c>
      <c r="O18" t="str">
        <f t="shared" si="0"/>
        <v>392_1</v>
      </c>
    </row>
    <row r="19" spans="1:15" x14ac:dyDescent="0.25">
      <c r="A19">
        <v>392</v>
      </c>
      <c r="B19">
        <v>11230496</v>
      </c>
      <c r="C19" s="38">
        <v>29522</v>
      </c>
      <c r="D19" s="39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36</v>
      </c>
      <c r="N19">
        <v>7</v>
      </c>
      <c r="O19" t="str">
        <f t="shared" si="0"/>
        <v>392_1</v>
      </c>
    </row>
    <row r="20" spans="1:15" x14ac:dyDescent="0.25">
      <c r="A20">
        <v>392</v>
      </c>
      <c r="B20">
        <v>11230496</v>
      </c>
      <c r="C20" s="38">
        <v>29156</v>
      </c>
      <c r="D20" s="39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37</v>
      </c>
      <c r="N20">
        <v>7</v>
      </c>
      <c r="O20" t="str">
        <f t="shared" si="0"/>
        <v>392_1</v>
      </c>
    </row>
    <row r="21" spans="1:15" x14ac:dyDescent="0.25">
      <c r="A21">
        <v>392</v>
      </c>
      <c r="B21">
        <v>11230496</v>
      </c>
      <c r="C21" s="38">
        <v>28791</v>
      </c>
      <c r="D21" s="39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38</v>
      </c>
      <c r="N21">
        <v>7</v>
      </c>
      <c r="O21" t="str">
        <f t="shared" si="0"/>
        <v>392_1</v>
      </c>
    </row>
    <row r="22" spans="1:15" x14ac:dyDescent="0.25">
      <c r="A22">
        <v>392</v>
      </c>
      <c r="B22">
        <v>11230496</v>
      </c>
      <c r="C22" s="38">
        <v>28426</v>
      </c>
      <c r="D22" s="39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39</v>
      </c>
      <c r="N22">
        <v>7</v>
      </c>
      <c r="O22" t="str">
        <f t="shared" si="0"/>
        <v>392_1</v>
      </c>
    </row>
    <row r="23" spans="1:15" x14ac:dyDescent="0.25">
      <c r="A23">
        <v>392</v>
      </c>
      <c r="B23">
        <v>11230496</v>
      </c>
      <c r="C23" s="38">
        <v>28061</v>
      </c>
      <c r="D23" s="39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40</v>
      </c>
      <c r="N23">
        <v>7</v>
      </c>
      <c r="O23" t="str">
        <f t="shared" si="0"/>
        <v>392_1</v>
      </c>
    </row>
    <row r="24" spans="1:15" x14ac:dyDescent="0.25">
      <c r="A24">
        <v>392</v>
      </c>
      <c r="B24">
        <v>11230496</v>
      </c>
      <c r="C24" s="38">
        <v>27695</v>
      </c>
      <c r="D24" s="39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41</v>
      </c>
      <c r="N24">
        <v>7</v>
      </c>
      <c r="O24" t="str">
        <f t="shared" si="0"/>
        <v>392_1</v>
      </c>
    </row>
    <row r="25" spans="1:15" x14ac:dyDescent="0.25">
      <c r="A25">
        <v>392</v>
      </c>
      <c r="B25">
        <v>11230496</v>
      </c>
      <c r="C25" s="38">
        <v>27330</v>
      </c>
      <c r="D25" s="39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42</v>
      </c>
      <c r="N25">
        <v>7</v>
      </c>
      <c r="O25" t="str">
        <f t="shared" si="0"/>
        <v>392_1</v>
      </c>
    </row>
    <row r="26" spans="1:15" x14ac:dyDescent="0.25">
      <c r="A26">
        <v>392</v>
      </c>
      <c r="B26">
        <v>11230496</v>
      </c>
      <c r="C26" s="38">
        <v>26965</v>
      </c>
      <c r="D26" s="39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43</v>
      </c>
      <c r="N26">
        <v>7</v>
      </c>
      <c r="O26" t="str">
        <f t="shared" si="0"/>
        <v>392_1</v>
      </c>
    </row>
    <row r="27" spans="1:15" x14ac:dyDescent="0.25">
      <c r="A27">
        <v>392</v>
      </c>
      <c r="B27">
        <v>11230496</v>
      </c>
      <c r="C27" s="38">
        <v>26600</v>
      </c>
      <c r="D27" s="39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44</v>
      </c>
      <c r="N27">
        <v>7</v>
      </c>
      <c r="O27" t="str">
        <f t="shared" si="0"/>
        <v>392_1</v>
      </c>
    </row>
    <row r="28" spans="1:15" x14ac:dyDescent="0.25">
      <c r="A28">
        <v>392</v>
      </c>
      <c r="B28">
        <v>11230496</v>
      </c>
      <c r="C28" s="38">
        <v>26234</v>
      </c>
      <c r="D28" s="39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45</v>
      </c>
      <c r="N28">
        <v>7</v>
      </c>
      <c r="O28" t="str">
        <f t="shared" si="0"/>
        <v>392_1</v>
      </c>
    </row>
    <row r="29" spans="1:15" x14ac:dyDescent="0.25">
      <c r="A29">
        <v>392</v>
      </c>
      <c r="B29">
        <v>11230496</v>
      </c>
      <c r="C29" s="38">
        <v>25869</v>
      </c>
      <c r="D29" s="39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46</v>
      </c>
      <c r="N29">
        <v>7</v>
      </c>
      <c r="O29" t="str">
        <f t="shared" si="0"/>
        <v>392_1</v>
      </c>
    </row>
    <row r="30" spans="1:15" x14ac:dyDescent="0.25">
      <c r="A30">
        <v>392</v>
      </c>
      <c r="B30">
        <v>11230496</v>
      </c>
      <c r="C30" s="38">
        <v>25504</v>
      </c>
      <c r="D30" s="39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47</v>
      </c>
      <c r="N30">
        <v>7</v>
      </c>
      <c r="O30" t="str">
        <f t="shared" si="0"/>
        <v>392_1</v>
      </c>
    </row>
    <row r="31" spans="1:15" x14ac:dyDescent="0.25">
      <c r="A31">
        <v>392</v>
      </c>
      <c r="B31">
        <v>11230496</v>
      </c>
      <c r="C31" s="38">
        <v>25139</v>
      </c>
      <c r="D31" s="39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48</v>
      </c>
      <c r="N31">
        <v>7</v>
      </c>
      <c r="O31" t="str">
        <f t="shared" si="0"/>
        <v>392_1</v>
      </c>
    </row>
    <row r="32" spans="1:15" x14ac:dyDescent="0.25">
      <c r="A32">
        <v>392</v>
      </c>
      <c r="B32">
        <v>11230496</v>
      </c>
      <c r="C32" s="38">
        <v>24773</v>
      </c>
      <c r="D32" s="39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49</v>
      </c>
      <c r="N32">
        <v>7</v>
      </c>
      <c r="O32" t="str">
        <f t="shared" si="0"/>
        <v>392_1</v>
      </c>
    </row>
    <row r="33" spans="1:15" x14ac:dyDescent="0.25">
      <c r="A33">
        <v>392</v>
      </c>
      <c r="B33">
        <v>11230496</v>
      </c>
      <c r="C33" s="38">
        <v>24408</v>
      </c>
      <c r="D33" s="39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50</v>
      </c>
      <c r="N33">
        <v>7</v>
      </c>
      <c r="O33" t="str">
        <f t="shared" si="0"/>
        <v>392_1</v>
      </c>
    </row>
    <row r="34" spans="1:15" x14ac:dyDescent="0.25">
      <c r="A34">
        <v>392</v>
      </c>
      <c r="B34">
        <v>11230496</v>
      </c>
      <c r="C34" s="38">
        <v>24043</v>
      </c>
      <c r="D34" s="39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51</v>
      </c>
      <c r="N34">
        <v>7</v>
      </c>
      <c r="O34" t="str">
        <f t="shared" si="0"/>
        <v>392_1</v>
      </c>
    </row>
    <row r="35" spans="1:15" x14ac:dyDescent="0.25">
      <c r="A35">
        <v>392</v>
      </c>
      <c r="B35">
        <v>11230496</v>
      </c>
      <c r="C35" s="38">
        <v>23678</v>
      </c>
      <c r="D35" s="39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52</v>
      </c>
      <c r="N35">
        <v>7</v>
      </c>
      <c r="O35" t="str">
        <f t="shared" si="0"/>
        <v>392_1</v>
      </c>
    </row>
    <row r="36" spans="1:15" x14ac:dyDescent="0.25">
      <c r="A36">
        <v>392</v>
      </c>
      <c r="B36">
        <v>11230496</v>
      </c>
      <c r="C36" s="38">
        <v>23312</v>
      </c>
      <c r="D36" s="39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53</v>
      </c>
      <c r="N36">
        <v>7</v>
      </c>
      <c r="O36" t="str">
        <f t="shared" si="0"/>
        <v>392_1</v>
      </c>
    </row>
    <row r="37" spans="1:15" x14ac:dyDescent="0.25">
      <c r="A37">
        <v>392</v>
      </c>
      <c r="B37">
        <v>11230496</v>
      </c>
      <c r="C37" s="38">
        <v>22947</v>
      </c>
      <c r="D37" s="39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54</v>
      </c>
      <c r="N37">
        <v>7</v>
      </c>
      <c r="O37" t="str">
        <f t="shared" si="0"/>
        <v>392_1</v>
      </c>
    </row>
    <row r="38" spans="1:15" x14ac:dyDescent="0.25">
      <c r="A38">
        <v>392</v>
      </c>
      <c r="B38">
        <v>11230496</v>
      </c>
      <c r="C38" s="38">
        <v>22582</v>
      </c>
      <c r="D38" s="39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55</v>
      </c>
      <c r="N38">
        <v>7</v>
      </c>
      <c r="O38" t="str">
        <f t="shared" si="0"/>
        <v>392_1</v>
      </c>
    </row>
    <row r="39" spans="1:15" x14ac:dyDescent="0.25">
      <c r="A39">
        <v>392</v>
      </c>
      <c r="B39">
        <v>11230496</v>
      </c>
      <c r="C39" s="38">
        <v>22217</v>
      </c>
      <c r="D39" s="39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56</v>
      </c>
      <c r="N39">
        <v>7</v>
      </c>
      <c r="O39" t="str">
        <f t="shared" si="0"/>
        <v>392_1</v>
      </c>
    </row>
    <row r="40" spans="1:15" x14ac:dyDescent="0.25">
      <c r="A40">
        <v>392</v>
      </c>
      <c r="B40">
        <v>11230496</v>
      </c>
      <c r="C40" s="38">
        <v>21851</v>
      </c>
      <c r="D40" s="39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57</v>
      </c>
      <c r="N40">
        <v>7</v>
      </c>
      <c r="O40" t="str">
        <f t="shared" si="0"/>
        <v>392_1</v>
      </c>
    </row>
    <row r="41" spans="1:15" x14ac:dyDescent="0.25">
      <c r="A41">
        <v>392</v>
      </c>
      <c r="B41">
        <v>11230496</v>
      </c>
      <c r="C41" s="38">
        <v>21486</v>
      </c>
      <c r="D41" s="39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58</v>
      </c>
      <c r="N41">
        <v>7</v>
      </c>
      <c r="O41" t="str">
        <f t="shared" si="0"/>
        <v>392_1</v>
      </c>
    </row>
    <row r="42" spans="1:15" x14ac:dyDescent="0.25">
      <c r="A42">
        <v>392</v>
      </c>
      <c r="B42">
        <v>11230496</v>
      </c>
      <c r="C42" s="38">
        <v>21121</v>
      </c>
      <c r="D42" s="39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59</v>
      </c>
      <c r="N42">
        <v>7</v>
      </c>
      <c r="O42" t="str">
        <f t="shared" si="0"/>
        <v>392_1</v>
      </c>
    </row>
    <row r="43" spans="1:15" x14ac:dyDescent="0.25">
      <c r="A43">
        <v>392</v>
      </c>
      <c r="B43">
        <v>11230496</v>
      </c>
      <c r="C43" s="38">
        <v>20756</v>
      </c>
      <c r="D43" s="39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60</v>
      </c>
      <c r="N43">
        <v>7</v>
      </c>
      <c r="O43" t="str">
        <f t="shared" si="0"/>
        <v>392_1</v>
      </c>
    </row>
    <row r="44" spans="1:15" x14ac:dyDescent="0.25">
      <c r="A44">
        <v>392</v>
      </c>
      <c r="B44">
        <v>11230496</v>
      </c>
      <c r="C44" s="38">
        <v>20390</v>
      </c>
      <c r="D44" s="39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61</v>
      </c>
      <c r="N44">
        <v>7</v>
      </c>
      <c r="O44" t="str">
        <f t="shared" si="0"/>
        <v>392_1</v>
      </c>
    </row>
    <row r="45" spans="1:15" x14ac:dyDescent="0.25">
      <c r="A45">
        <v>392</v>
      </c>
      <c r="B45">
        <v>11230496</v>
      </c>
      <c r="C45" s="38">
        <v>20025</v>
      </c>
      <c r="D45" s="39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62</v>
      </c>
      <c r="N45">
        <v>7</v>
      </c>
      <c r="O45" t="str">
        <f t="shared" si="0"/>
        <v>392_1</v>
      </c>
    </row>
    <row r="46" spans="1:15" x14ac:dyDescent="0.25">
      <c r="A46">
        <v>392</v>
      </c>
      <c r="B46">
        <v>11230496</v>
      </c>
      <c r="C46" s="38">
        <v>19660</v>
      </c>
      <c r="D46" s="39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63</v>
      </c>
      <c r="N46">
        <v>7</v>
      </c>
      <c r="O46" t="str">
        <f t="shared" si="0"/>
        <v>392_1</v>
      </c>
    </row>
    <row r="47" spans="1:15" x14ac:dyDescent="0.25">
      <c r="A47">
        <v>392</v>
      </c>
      <c r="B47">
        <v>11230496</v>
      </c>
      <c r="C47" s="38">
        <v>19295</v>
      </c>
      <c r="D47" s="39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64</v>
      </c>
      <c r="N47">
        <v>7</v>
      </c>
      <c r="O47" t="str">
        <f t="shared" si="0"/>
        <v>392_1</v>
      </c>
    </row>
    <row r="48" spans="1:15" x14ac:dyDescent="0.25">
      <c r="A48">
        <v>392</v>
      </c>
      <c r="B48">
        <v>11230496</v>
      </c>
      <c r="C48" s="38">
        <v>18929</v>
      </c>
      <c r="D48" s="39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65</v>
      </c>
      <c r="N48">
        <v>7</v>
      </c>
      <c r="O48" t="str">
        <f t="shared" si="0"/>
        <v>392_1</v>
      </c>
    </row>
    <row r="49" spans="1:15" x14ac:dyDescent="0.25">
      <c r="A49">
        <v>392</v>
      </c>
      <c r="B49">
        <v>11230496</v>
      </c>
      <c r="C49" s="38">
        <v>18564</v>
      </c>
      <c r="D49" s="39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66</v>
      </c>
      <c r="N49">
        <v>7</v>
      </c>
      <c r="O49" t="str">
        <f t="shared" si="0"/>
        <v>392_1</v>
      </c>
    </row>
    <row r="50" spans="1:15" x14ac:dyDescent="0.25">
      <c r="A50">
        <v>392</v>
      </c>
      <c r="B50">
        <v>11230496</v>
      </c>
      <c r="C50" s="38">
        <v>18199</v>
      </c>
      <c r="D50" s="39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67</v>
      </c>
      <c r="N50">
        <v>7</v>
      </c>
      <c r="O50" t="str">
        <f t="shared" si="0"/>
        <v>392_1</v>
      </c>
    </row>
    <row r="51" spans="1:15" x14ac:dyDescent="0.25">
      <c r="A51">
        <v>392</v>
      </c>
      <c r="B51">
        <v>11230496</v>
      </c>
      <c r="C51" s="38">
        <v>17834</v>
      </c>
      <c r="D51" s="39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68</v>
      </c>
      <c r="N51">
        <v>7</v>
      </c>
      <c r="O51" t="str">
        <f t="shared" si="0"/>
        <v>392_1</v>
      </c>
    </row>
    <row r="52" spans="1:15" x14ac:dyDescent="0.25">
      <c r="A52">
        <v>392</v>
      </c>
      <c r="B52">
        <v>11230496</v>
      </c>
      <c r="C52" s="38">
        <v>17468</v>
      </c>
      <c r="D52" s="39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69</v>
      </c>
      <c r="N52">
        <v>7</v>
      </c>
      <c r="O52" t="str">
        <f t="shared" si="0"/>
        <v>392_1</v>
      </c>
    </row>
    <row r="53" spans="1:15" x14ac:dyDescent="0.25">
      <c r="C53" s="38"/>
      <c r="D53" s="39"/>
    </row>
    <row r="54" spans="1:15" x14ac:dyDescent="0.25">
      <c r="C54" s="38"/>
      <c r="D54" s="39"/>
    </row>
    <row r="55" spans="1:15" x14ac:dyDescent="0.25">
      <c r="C55" s="38"/>
      <c r="D55" s="39"/>
    </row>
    <row r="56" spans="1:15" x14ac:dyDescent="0.25">
      <c r="C56" s="38"/>
      <c r="D56" s="39"/>
    </row>
    <row r="57" spans="1:15" x14ac:dyDescent="0.25">
      <c r="C57" s="38"/>
      <c r="D57" s="39"/>
    </row>
    <row r="58" spans="1:15" x14ac:dyDescent="0.25">
      <c r="C58" s="38"/>
      <c r="D58" s="39"/>
    </row>
    <row r="59" spans="1:15" x14ac:dyDescent="0.25">
      <c r="C59" s="38"/>
      <c r="D59" s="39"/>
    </row>
    <row r="60" spans="1:15" x14ac:dyDescent="0.25">
      <c r="C60" s="38"/>
      <c r="D60" s="39"/>
    </row>
    <row r="61" spans="1:15" x14ac:dyDescent="0.25">
      <c r="C61" s="38"/>
      <c r="D61" s="39"/>
    </row>
    <row r="62" spans="1:15" x14ac:dyDescent="0.25">
      <c r="C62" s="38"/>
      <c r="D62" s="39"/>
    </row>
    <row r="63" spans="1:15" x14ac:dyDescent="0.25">
      <c r="C63" s="38"/>
      <c r="D63" s="39"/>
    </row>
    <row r="64" spans="1:15" x14ac:dyDescent="0.25">
      <c r="C64" s="38"/>
      <c r="D64" s="39"/>
    </row>
    <row r="65" spans="3:4" x14ac:dyDescent="0.25">
      <c r="C65" s="38"/>
      <c r="D65" s="39"/>
    </row>
    <row r="66" spans="3:4" x14ac:dyDescent="0.25">
      <c r="C66" s="38"/>
      <c r="D66" s="39"/>
    </row>
    <row r="67" spans="3:4" x14ac:dyDescent="0.25">
      <c r="C67" s="38"/>
      <c r="D67" s="39"/>
    </row>
    <row r="68" spans="3:4" x14ac:dyDescent="0.25">
      <c r="C68" s="38"/>
      <c r="D68" s="39"/>
    </row>
    <row r="69" spans="3:4" x14ac:dyDescent="0.25">
      <c r="C69" s="38"/>
      <c r="D69" s="39"/>
    </row>
    <row r="70" spans="3:4" x14ac:dyDescent="0.25">
      <c r="C70" s="38"/>
      <c r="D70" s="39"/>
    </row>
    <row r="71" spans="3:4" x14ac:dyDescent="0.25">
      <c r="C71" s="38"/>
      <c r="D71" s="39"/>
    </row>
    <row r="72" spans="3:4" x14ac:dyDescent="0.25">
      <c r="C72" s="38"/>
      <c r="D72" s="39"/>
    </row>
    <row r="73" spans="3:4" x14ac:dyDescent="0.25">
      <c r="C73" s="38"/>
      <c r="D73" s="39"/>
    </row>
    <row r="74" spans="3:4" x14ac:dyDescent="0.25">
      <c r="C74" s="38"/>
      <c r="D74" s="39"/>
    </row>
    <row r="75" spans="3:4" x14ac:dyDescent="0.25">
      <c r="C75" s="38"/>
      <c r="D75" s="39"/>
    </row>
    <row r="76" spans="3:4" x14ac:dyDescent="0.25">
      <c r="C76" s="38"/>
      <c r="D76" s="39"/>
    </row>
    <row r="77" spans="3:4" x14ac:dyDescent="0.25">
      <c r="C77" s="38"/>
      <c r="D77" s="39"/>
    </row>
    <row r="78" spans="3:4" x14ac:dyDescent="0.25">
      <c r="C78" s="38"/>
      <c r="D78" s="39"/>
    </row>
    <row r="79" spans="3:4" x14ac:dyDescent="0.25">
      <c r="C79" s="38"/>
      <c r="D79" s="39"/>
    </row>
    <row r="80" spans="3:4" x14ac:dyDescent="0.25">
      <c r="C80" s="38"/>
      <c r="D80" s="39"/>
    </row>
    <row r="81" spans="3:4" x14ac:dyDescent="0.25">
      <c r="C81" s="38"/>
      <c r="D81" s="39"/>
    </row>
    <row r="82" spans="3:4" x14ac:dyDescent="0.25">
      <c r="C82" s="38"/>
      <c r="D82" s="39"/>
    </row>
    <row r="83" spans="3:4" x14ac:dyDescent="0.25">
      <c r="C83" s="38"/>
      <c r="D83" s="39"/>
    </row>
    <row r="84" spans="3:4" x14ac:dyDescent="0.25">
      <c r="C84" s="38"/>
      <c r="D84" s="39"/>
    </row>
    <row r="85" spans="3:4" x14ac:dyDescent="0.25">
      <c r="C85" s="38"/>
      <c r="D85" s="39"/>
    </row>
    <row r="86" spans="3:4" x14ac:dyDescent="0.25">
      <c r="C86" s="38"/>
      <c r="D86" s="39"/>
    </row>
    <row r="87" spans="3:4" x14ac:dyDescent="0.25">
      <c r="C87" s="38"/>
      <c r="D87" s="39"/>
    </row>
    <row r="88" spans="3:4" x14ac:dyDescent="0.25">
      <c r="C88" s="38"/>
      <c r="D88" s="39"/>
    </row>
    <row r="89" spans="3:4" x14ac:dyDescent="0.25">
      <c r="C89" s="38"/>
      <c r="D89" s="39"/>
    </row>
    <row r="90" spans="3:4" x14ac:dyDescent="0.25">
      <c r="C90" s="38"/>
      <c r="D90" s="39"/>
    </row>
    <row r="91" spans="3:4" x14ac:dyDescent="0.25">
      <c r="C91" s="38"/>
      <c r="D91" s="39"/>
    </row>
    <row r="92" spans="3:4" x14ac:dyDescent="0.25">
      <c r="C92" s="38"/>
      <c r="D92" s="39"/>
    </row>
    <row r="93" spans="3:4" x14ac:dyDescent="0.25">
      <c r="C93" s="38"/>
      <c r="D93" s="39"/>
    </row>
    <row r="94" spans="3:4" x14ac:dyDescent="0.25">
      <c r="C94" s="38"/>
      <c r="D94" s="39"/>
    </row>
    <row r="95" spans="3:4" x14ac:dyDescent="0.25">
      <c r="C95" s="38"/>
      <c r="D95" s="39"/>
    </row>
    <row r="96" spans="3:4" x14ac:dyDescent="0.25">
      <c r="C96" s="38"/>
      <c r="D96" s="39"/>
    </row>
    <row r="97" spans="3:4" x14ac:dyDescent="0.25">
      <c r="C97" s="38"/>
      <c r="D97" s="39"/>
    </row>
    <row r="98" spans="3:4" x14ac:dyDescent="0.25">
      <c r="C98" s="38"/>
      <c r="D98" s="39"/>
    </row>
    <row r="99" spans="3:4" x14ac:dyDescent="0.25">
      <c r="C99" s="38"/>
      <c r="D99" s="39"/>
    </row>
    <row r="100" spans="3:4" x14ac:dyDescent="0.25">
      <c r="C100" s="38"/>
      <c r="D100" s="39"/>
    </row>
    <row r="101" spans="3:4" x14ac:dyDescent="0.25">
      <c r="C101" s="38"/>
      <c r="D101" s="39"/>
    </row>
    <row r="102" spans="3:4" x14ac:dyDescent="0.25">
      <c r="C102" s="38"/>
      <c r="D102" s="39"/>
    </row>
    <row r="103" spans="3:4" x14ac:dyDescent="0.25">
      <c r="C103" s="38"/>
      <c r="D103" s="39"/>
    </row>
    <row r="104" spans="3:4" x14ac:dyDescent="0.25">
      <c r="C104" s="38"/>
      <c r="D104" s="39"/>
    </row>
    <row r="105" spans="3:4" x14ac:dyDescent="0.25">
      <c r="C105" s="38"/>
      <c r="D105" s="39"/>
    </row>
    <row r="106" spans="3:4" x14ac:dyDescent="0.25">
      <c r="C106" s="38"/>
      <c r="D106" s="39"/>
    </row>
    <row r="107" spans="3:4" x14ac:dyDescent="0.25">
      <c r="C107" s="38"/>
      <c r="D107" s="39"/>
    </row>
    <row r="108" spans="3:4" x14ac:dyDescent="0.25">
      <c r="C108" s="38"/>
      <c r="D108" s="39"/>
    </row>
    <row r="109" spans="3:4" x14ac:dyDescent="0.25">
      <c r="C109" s="38"/>
      <c r="D109" s="39"/>
    </row>
    <row r="110" spans="3:4" x14ac:dyDescent="0.25">
      <c r="C110" s="38"/>
      <c r="D110" s="39"/>
    </row>
    <row r="111" spans="3:4" x14ac:dyDescent="0.25">
      <c r="C111" s="38"/>
      <c r="D111" s="39"/>
    </row>
    <row r="112" spans="3:4" x14ac:dyDescent="0.25">
      <c r="C112" s="38"/>
      <c r="D112" s="39"/>
    </row>
    <row r="113" spans="3:4" x14ac:dyDescent="0.25">
      <c r="C113" s="38"/>
      <c r="D113" s="39"/>
    </row>
    <row r="114" spans="3:4" x14ac:dyDescent="0.25">
      <c r="C114" s="38"/>
      <c r="D114" s="39"/>
    </row>
    <row r="115" spans="3:4" x14ac:dyDescent="0.25">
      <c r="C115" s="38"/>
      <c r="D115" s="39"/>
    </row>
    <row r="116" spans="3:4" x14ac:dyDescent="0.25">
      <c r="C116" s="38"/>
      <c r="D116" s="39"/>
    </row>
    <row r="117" spans="3:4" x14ac:dyDescent="0.25">
      <c r="C117" s="38"/>
      <c r="D117" s="39"/>
    </row>
    <row r="118" spans="3:4" x14ac:dyDescent="0.25">
      <c r="C118" s="38"/>
      <c r="D118" s="39"/>
    </row>
    <row r="119" spans="3:4" x14ac:dyDescent="0.25">
      <c r="C119" s="38"/>
      <c r="D119" s="39"/>
    </row>
    <row r="120" spans="3:4" x14ac:dyDescent="0.25">
      <c r="C120" s="38"/>
      <c r="D120" s="39"/>
    </row>
    <row r="121" spans="3:4" x14ac:dyDescent="0.25">
      <c r="C121" s="38"/>
      <c r="D121" s="39"/>
    </row>
    <row r="122" spans="3:4" x14ac:dyDescent="0.25">
      <c r="C122" s="38"/>
      <c r="D122" s="39"/>
    </row>
    <row r="123" spans="3:4" x14ac:dyDescent="0.25">
      <c r="C123" s="38"/>
      <c r="D123" s="39"/>
    </row>
    <row r="124" spans="3:4" x14ac:dyDescent="0.25">
      <c r="C124" s="38"/>
      <c r="D124" s="39"/>
    </row>
    <row r="125" spans="3:4" x14ac:dyDescent="0.25">
      <c r="C125" s="38"/>
      <c r="D125" s="39"/>
    </row>
    <row r="126" spans="3:4" x14ac:dyDescent="0.25">
      <c r="C126" s="38"/>
      <c r="D126" s="39"/>
    </row>
    <row r="127" spans="3:4" x14ac:dyDescent="0.25">
      <c r="C127" s="38"/>
      <c r="D127" s="39"/>
    </row>
    <row r="128" spans="3:4" x14ac:dyDescent="0.25">
      <c r="C128" s="38"/>
      <c r="D128" s="39"/>
    </row>
    <row r="129" spans="3:4" x14ac:dyDescent="0.25">
      <c r="C129" s="38"/>
      <c r="D129" s="39"/>
    </row>
    <row r="130" spans="3:4" x14ac:dyDescent="0.25">
      <c r="C130" s="38"/>
      <c r="D130" s="39"/>
    </row>
    <row r="131" spans="3:4" x14ac:dyDescent="0.25">
      <c r="C131" s="38"/>
      <c r="D131" s="39"/>
    </row>
    <row r="132" spans="3:4" x14ac:dyDescent="0.25">
      <c r="C132" s="38"/>
      <c r="D132" s="39"/>
    </row>
    <row r="133" spans="3:4" x14ac:dyDescent="0.25">
      <c r="C133" s="38"/>
      <c r="D133" s="39"/>
    </row>
    <row r="134" spans="3:4" x14ac:dyDescent="0.25">
      <c r="C134" s="38"/>
      <c r="D134" s="39"/>
    </row>
    <row r="135" spans="3:4" x14ac:dyDescent="0.25">
      <c r="C135" s="38"/>
      <c r="D135" s="39"/>
    </row>
    <row r="136" spans="3:4" x14ac:dyDescent="0.25">
      <c r="C136" s="38"/>
      <c r="D136" s="39"/>
    </row>
    <row r="137" spans="3:4" x14ac:dyDescent="0.25">
      <c r="C137" s="38"/>
      <c r="D137" s="39"/>
    </row>
    <row r="138" spans="3:4" x14ac:dyDescent="0.25">
      <c r="C138" s="38"/>
      <c r="D138" s="39"/>
    </row>
    <row r="139" spans="3:4" x14ac:dyDescent="0.25">
      <c r="C139" s="38"/>
      <c r="D139" s="39"/>
    </row>
    <row r="140" spans="3:4" x14ac:dyDescent="0.25">
      <c r="C140" s="38"/>
      <c r="D140" s="39"/>
    </row>
    <row r="141" spans="3:4" x14ac:dyDescent="0.25">
      <c r="C141" s="38"/>
      <c r="D141" s="39"/>
    </row>
    <row r="142" spans="3:4" x14ac:dyDescent="0.25">
      <c r="C142" s="38"/>
      <c r="D142" s="39"/>
    </row>
    <row r="143" spans="3:4" x14ac:dyDescent="0.25">
      <c r="C143" s="38"/>
      <c r="D143" s="39"/>
    </row>
    <row r="144" spans="3:4" x14ac:dyDescent="0.25">
      <c r="C144" s="38"/>
      <c r="D144" s="39"/>
    </row>
    <row r="145" spans="3:4" x14ac:dyDescent="0.25">
      <c r="C145" s="38"/>
      <c r="D145" s="39"/>
    </row>
    <row r="146" spans="3:4" x14ac:dyDescent="0.25">
      <c r="C146" s="38"/>
      <c r="D146" s="39"/>
    </row>
    <row r="147" spans="3:4" x14ac:dyDescent="0.25">
      <c r="C147" s="38"/>
      <c r="D147" s="39"/>
    </row>
    <row r="148" spans="3:4" x14ac:dyDescent="0.25">
      <c r="C148" s="38"/>
      <c r="D148" s="39"/>
    </row>
    <row r="149" spans="3:4" x14ac:dyDescent="0.25">
      <c r="C149" s="38"/>
      <c r="D149" s="39"/>
    </row>
    <row r="150" spans="3:4" x14ac:dyDescent="0.25">
      <c r="C150" s="38"/>
      <c r="D150" s="39"/>
    </row>
    <row r="151" spans="3:4" x14ac:dyDescent="0.25">
      <c r="C151" s="38"/>
      <c r="D151" s="39"/>
    </row>
    <row r="152" spans="3:4" x14ac:dyDescent="0.25">
      <c r="C152" s="38"/>
      <c r="D152" s="39"/>
    </row>
    <row r="153" spans="3:4" x14ac:dyDescent="0.25">
      <c r="C153" s="38"/>
      <c r="D153" s="39"/>
    </row>
    <row r="154" spans="3:4" x14ac:dyDescent="0.25">
      <c r="C154" s="38"/>
      <c r="D154" s="39"/>
    </row>
    <row r="155" spans="3:4" x14ac:dyDescent="0.25">
      <c r="C155" s="38"/>
      <c r="D155" s="39"/>
    </row>
    <row r="156" spans="3:4" x14ac:dyDescent="0.25">
      <c r="C156" s="38"/>
      <c r="D156" s="39"/>
    </row>
    <row r="157" spans="3:4" x14ac:dyDescent="0.25">
      <c r="C157" s="38"/>
      <c r="D157" s="39"/>
    </row>
    <row r="158" spans="3:4" x14ac:dyDescent="0.25">
      <c r="C158" s="38"/>
      <c r="D158" s="39"/>
    </row>
    <row r="159" spans="3:4" x14ac:dyDescent="0.25">
      <c r="C159" s="38"/>
      <c r="D159" s="39"/>
    </row>
    <row r="160" spans="3:4" x14ac:dyDescent="0.25">
      <c r="C160" s="38"/>
      <c r="D160" s="39"/>
    </row>
    <row r="161" spans="3:4" x14ac:dyDescent="0.25">
      <c r="C161" s="38"/>
      <c r="D161" s="39"/>
    </row>
    <row r="162" spans="3:4" x14ac:dyDescent="0.25">
      <c r="C162" s="38"/>
      <c r="D162" s="39"/>
    </row>
    <row r="163" spans="3:4" x14ac:dyDescent="0.25">
      <c r="C163" s="38"/>
      <c r="D163" s="39"/>
    </row>
    <row r="164" spans="3:4" x14ac:dyDescent="0.25">
      <c r="C164" s="38"/>
      <c r="D164" s="39"/>
    </row>
    <row r="165" spans="3:4" x14ac:dyDescent="0.25">
      <c r="C165" s="38"/>
      <c r="D165" s="39"/>
    </row>
    <row r="166" spans="3:4" x14ac:dyDescent="0.25">
      <c r="C166" s="38"/>
      <c r="D166" s="39"/>
    </row>
    <row r="167" spans="3:4" x14ac:dyDescent="0.25">
      <c r="C167" s="38"/>
      <c r="D167" s="39"/>
    </row>
    <row r="168" spans="3:4" x14ac:dyDescent="0.25">
      <c r="C168" s="38"/>
      <c r="D168" s="39"/>
    </row>
    <row r="169" spans="3:4" x14ac:dyDescent="0.25">
      <c r="C169" s="38"/>
      <c r="D169" s="39"/>
    </row>
    <row r="170" spans="3:4" x14ac:dyDescent="0.25">
      <c r="C170" s="38"/>
      <c r="D170" s="39"/>
    </row>
    <row r="171" spans="3:4" x14ac:dyDescent="0.25">
      <c r="C171" s="38"/>
      <c r="D171" s="39"/>
    </row>
    <row r="172" spans="3:4" x14ac:dyDescent="0.25">
      <c r="C172" s="38"/>
      <c r="D172" s="39"/>
    </row>
    <row r="173" spans="3:4" x14ac:dyDescent="0.25">
      <c r="C173" s="38"/>
      <c r="D173" s="39"/>
    </row>
    <row r="174" spans="3:4" x14ac:dyDescent="0.25">
      <c r="C174" s="38"/>
      <c r="D174" s="39"/>
    </row>
    <row r="175" spans="3:4" x14ac:dyDescent="0.25">
      <c r="C175" s="38"/>
      <c r="D175" s="39"/>
    </row>
    <row r="176" spans="3:4" x14ac:dyDescent="0.25">
      <c r="C176" s="38"/>
      <c r="D176" s="39"/>
    </row>
    <row r="177" spans="3:4" x14ac:dyDescent="0.25">
      <c r="C177" s="38"/>
      <c r="D177" s="39"/>
    </row>
    <row r="178" spans="3:4" x14ac:dyDescent="0.25">
      <c r="C178" s="38"/>
      <c r="D178" s="39"/>
    </row>
    <row r="179" spans="3:4" x14ac:dyDescent="0.25">
      <c r="C179" s="38"/>
      <c r="D179" s="39"/>
    </row>
    <row r="180" spans="3:4" x14ac:dyDescent="0.25">
      <c r="C180" s="38"/>
      <c r="D180" s="39"/>
    </row>
    <row r="181" spans="3:4" x14ac:dyDescent="0.25">
      <c r="C181" s="38"/>
      <c r="D181" s="39"/>
    </row>
    <row r="182" spans="3:4" x14ac:dyDescent="0.25">
      <c r="C182" s="38"/>
      <c r="D182" s="39"/>
    </row>
    <row r="183" spans="3:4" x14ac:dyDescent="0.25">
      <c r="C183" s="38"/>
      <c r="D183" s="39"/>
    </row>
    <row r="184" spans="3:4" x14ac:dyDescent="0.25">
      <c r="C184" s="38"/>
      <c r="D184" s="39"/>
    </row>
    <row r="185" spans="3:4" x14ac:dyDescent="0.25">
      <c r="C185" s="38"/>
      <c r="D185" s="39"/>
    </row>
    <row r="186" spans="3:4" x14ac:dyDescent="0.25">
      <c r="C186" s="38"/>
      <c r="D186" s="39"/>
    </row>
    <row r="187" spans="3:4" x14ac:dyDescent="0.25">
      <c r="C187" s="38"/>
      <c r="D187" s="39"/>
    </row>
    <row r="188" spans="3:4" x14ac:dyDescent="0.25">
      <c r="C188" s="38"/>
      <c r="D188" s="39"/>
    </row>
    <row r="189" spans="3:4" x14ac:dyDescent="0.25">
      <c r="C189" s="38"/>
      <c r="D189" s="39"/>
    </row>
    <row r="190" spans="3:4" x14ac:dyDescent="0.25">
      <c r="C190" s="38"/>
      <c r="D190" s="39"/>
    </row>
    <row r="191" spans="3:4" x14ac:dyDescent="0.25">
      <c r="C191" s="38"/>
      <c r="D191" s="39"/>
    </row>
    <row r="192" spans="3:4" x14ac:dyDescent="0.25">
      <c r="C192" s="38"/>
      <c r="D192" s="39"/>
    </row>
    <row r="193" spans="3:4" x14ac:dyDescent="0.25">
      <c r="C193" s="38"/>
      <c r="D193" s="39"/>
    </row>
    <row r="194" spans="3:4" x14ac:dyDescent="0.25">
      <c r="C194" s="38"/>
      <c r="D194" s="39"/>
    </row>
    <row r="195" spans="3:4" x14ac:dyDescent="0.25">
      <c r="C195" s="38"/>
      <c r="D195" s="39"/>
    </row>
    <row r="196" spans="3:4" x14ac:dyDescent="0.25">
      <c r="C196" s="38"/>
      <c r="D196" s="39"/>
    </row>
    <row r="197" spans="3:4" x14ac:dyDescent="0.25">
      <c r="C197" s="38"/>
      <c r="D197" s="39"/>
    </row>
    <row r="198" spans="3:4" x14ac:dyDescent="0.25">
      <c r="C198" s="38"/>
      <c r="D198" s="39"/>
    </row>
    <row r="199" spans="3:4" x14ac:dyDescent="0.25">
      <c r="C199" s="38"/>
      <c r="D199" s="39"/>
    </row>
    <row r="200" spans="3:4" x14ac:dyDescent="0.25">
      <c r="C200" s="38"/>
      <c r="D200" s="39"/>
    </row>
    <row r="201" spans="3:4" x14ac:dyDescent="0.25">
      <c r="C201" s="38"/>
      <c r="D201" s="39"/>
    </row>
    <row r="202" spans="3:4" x14ac:dyDescent="0.25">
      <c r="C202" s="38"/>
      <c r="D202" s="39"/>
    </row>
    <row r="203" spans="3:4" x14ac:dyDescent="0.25">
      <c r="C203" s="38"/>
      <c r="D203" s="39"/>
    </row>
    <row r="204" spans="3:4" x14ac:dyDescent="0.25">
      <c r="C204" s="38"/>
      <c r="D204" s="39"/>
    </row>
    <row r="205" spans="3:4" x14ac:dyDescent="0.25">
      <c r="C205" s="38"/>
      <c r="D205" s="39"/>
    </row>
    <row r="206" spans="3:4" x14ac:dyDescent="0.25">
      <c r="C206" s="38"/>
      <c r="D206" s="39"/>
    </row>
    <row r="207" spans="3:4" x14ac:dyDescent="0.25">
      <c r="C207" s="38"/>
      <c r="D207" s="39"/>
    </row>
    <row r="208" spans="3:4" x14ac:dyDescent="0.25">
      <c r="C208" s="38"/>
      <c r="D208" s="39"/>
    </row>
    <row r="209" spans="3:4" x14ac:dyDescent="0.25">
      <c r="C209" s="38"/>
      <c r="D209" s="39"/>
    </row>
    <row r="210" spans="3:4" x14ac:dyDescent="0.25">
      <c r="C210" s="38"/>
      <c r="D210" s="39"/>
    </row>
    <row r="211" spans="3:4" x14ac:dyDescent="0.25">
      <c r="C211" s="38"/>
      <c r="D211" s="39"/>
    </row>
    <row r="212" spans="3:4" x14ac:dyDescent="0.25">
      <c r="C212" s="38"/>
      <c r="D212" s="39"/>
    </row>
    <row r="213" spans="3:4" x14ac:dyDescent="0.25">
      <c r="C213" s="38"/>
      <c r="D213" s="39"/>
    </row>
    <row r="214" spans="3:4" x14ac:dyDescent="0.25">
      <c r="C214" s="38"/>
      <c r="D214" s="39"/>
    </row>
    <row r="215" spans="3:4" x14ac:dyDescent="0.25">
      <c r="C215" s="38"/>
      <c r="D215" s="39"/>
    </row>
    <row r="216" spans="3:4" x14ac:dyDescent="0.25">
      <c r="C216" s="38"/>
      <c r="D216" s="39"/>
    </row>
    <row r="217" spans="3:4" x14ac:dyDescent="0.25">
      <c r="C217" s="38"/>
      <c r="D217" s="39"/>
    </row>
    <row r="218" spans="3:4" x14ac:dyDescent="0.25">
      <c r="C218" s="38"/>
      <c r="D218" s="39"/>
    </row>
    <row r="219" spans="3:4" x14ac:dyDescent="0.25">
      <c r="C219" s="38"/>
      <c r="D219" s="39"/>
    </row>
    <row r="220" spans="3:4" x14ac:dyDescent="0.25">
      <c r="C220" s="38"/>
      <c r="D220" s="39"/>
    </row>
    <row r="221" spans="3:4" x14ac:dyDescent="0.25">
      <c r="C221" s="38"/>
      <c r="D221" s="39"/>
    </row>
    <row r="222" spans="3:4" x14ac:dyDescent="0.25">
      <c r="C222" s="38"/>
      <c r="D222" s="39"/>
    </row>
    <row r="223" spans="3:4" x14ac:dyDescent="0.25">
      <c r="C223" s="38"/>
      <c r="D223" s="39"/>
    </row>
    <row r="224" spans="3:4" x14ac:dyDescent="0.25">
      <c r="C224" s="38"/>
      <c r="D224" s="39"/>
    </row>
    <row r="225" spans="3:4" x14ac:dyDescent="0.25">
      <c r="C225" s="38"/>
      <c r="D225" s="39"/>
    </row>
    <row r="226" spans="3:4" x14ac:dyDescent="0.25">
      <c r="C226" s="38"/>
      <c r="D226" s="39"/>
    </row>
    <row r="227" spans="3:4" x14ac:dyDescent="0.25">
      <c r="C227" s="38"/>
      <c r="D227" s="39"/>
    </row>
    <row r="228" spans="3:4" x14ac:dyDescent="0.25">
      <c r="C228" s="38"/>
      <c r="D228" s="39"/>
    </row>
    <row r="229" spans="3:4" x14ac:dyDescent="0.25">
      <c r="C229" s="38"/>
      <c r="D229" s="39"/>
    </row>
    <row r="230" spans="3:4" x14ac:dyDescent="0.25">
      <c r="C230" s="38"/>
      <c r="D230" s="39"/>
    </row>
    <row r="231" spans="3:4" x14ac:dyDescent="0.25">
      <c r="C231" s="38"/>
      <c r="D231" s="39"/>
    </row>
    <row r="232" spans="3:4" x14ac:dyDescent="0.25">
      <c r="C232" s="38"/>
      <c r="D232" s="39"/>
    </row>
    <row r="233" spans="3:4" x14ac:dyDescent="0.25">
      <c r="C233" s="38"/>
      <c r="D233" s="39"/>
    </row>
    <row r="234" spans="3:4" x14ac:dyDescent="0.25">
      <c r="C234" s="38"/>
      <c r="D234" s="39"/>
    </row>
    <row r="235" spans="3:4" x14ac:dyDescent="0.25">
      <c r="C235" s="38"/>
      <c r="D235" s="39"/>
    </row>
    <row r="236" spans="3:4" x14ac:dyDescent="0.25">
      <c r="C236" s="38"/>
      <c r="D236" s="39"/>
    </row>
    <row r="237" spans="3:4" x14ac:dyDescent="0.25">
      <c r="C237" s="38"/>
      <c r="D237" s="39"/>
    </row>
    <row r="238" spans="3:4" x14ac:dyDescent="0.25">
      <c r="C238" s="38"/>
      <c r="D238" s="39"/>
    </row>
    <row r="239" spans="3:4" x14ac:dyDescent="0.25">
      <c r="C239" s="38"/>
      <c r="D239" s="39"/>
    </row>
    <row r="240" spans="3:4" x14ac:dyDescent="0.25">
      <c r="C240" s="38"/>
      <c r="D240" s="39"/>
    </row>
    <row r="241" spans="3:4" x14ac:dyDescent="0.25">
      <c r="C241" s="38"/>
      <c r="D241" s="39"/>
    </row>
    <row r="242" spans="3:4" x14ac:dyDescent="0.25">
      <c r="C242" s="38"/>
      <c r="D242" s="39"/>
    </row>
    <row r="243" spans="3:4" x14ac:dyDescent="0.25">
      <c r="C243" s="38"/>
      <c r="D243" s="39"/>
    </row>
    <row r="244" spans="3:4" x14ac:dyDescent="0.25">
      <c r="C244" s="38"/>
      <c r="D244" s="39"/>
    </row>
    <row r="245" spans="3:4" x14ac:dyDescent="0.25">
      <c r="C245" s="38"/>
      <c r="D245" s="39"/>
    </row>
    <row r="246" spans="3:4" x14ac:dyDescent="0.25">
      <c r="C246" s="38"/>
      <c r="D246" s="39"/>
    </row>
    <row r="247" spans="3:4" x14ac:dyDescent="0.25">
      <c r="C247" s="38"/>
      <c r="D247" s="39"/>
    </row>
    <row r="248" spans="3:4" x14ac:dyDescent="0.25">
      <c r="C248" s="38"/>
      <c r="D248" s="39"/>
    </row>
    <row r="249" spans="3:4" x14ac:dyDescent="0.25">
      <c r="C249" s="38"/>
      <c r="D249" s="39"/>
    </row>
    <row r="250" spans="3:4" x14ac:dyDescent="0.25">
      <c r="C250" s="38"/>
      <c r="D250" s="39"/>
    </row>
    <row r="251" spans="3:4" x14ac:dyDescent="0.25">
      <c r="C251" s="38"/>
      <c r="D251" s="39"/>
    </row>
    <row r="252" spans="3:4" x14ac:dyDescent="0.25">
      <c r="C252" s="38"/>
      <c r="D252" s="39"/>
    </row>
    <row r="253" spans="3:4" x14ac:dyDescent="0.25">
      <c r="C253" s="38"/>
      <c r="D253" s="39"/>
    </row>
    <row r="254" spans="3:4" x14ac:dyDescent="0.25">
      <c r="C254" s="38"/>
      <c r="D254" s="39"/>
    </row>
    <row r="255" spans="3:4" x14ac:dyDescent="0.25">
      <c r="C255" s="38"/>
      <c r="D255" s="39"/>
    </row>
    <row r="256" spans="3:4" x14ac:dyDescent="0.25">
      <c r="C256" s="38"/>
      <c r="D256" s="39"/>
    </row>
    <row r="257" spans="3:4" x14ac:dyDescent="0.25">
      <c r="C257" s="38"/>
      <c r="D257" s="39"/>
    </row>
    <row r="258" spans="3:4" x14ac:dyDescent="0.25">
      <c r="C258" s="38"/>
      <c r="D258" s="39"/>
    </row>
    <row r="259" spans="3:4" x14ac:dyDescent="0.25">
      <c r="C259" s="38"/>
      <c r="D259" s="39"/>
    </row>
    <row r="260" spans="3:4" x14ac:dyDescent="0.25">
      <c r="C260" s="38"/>
      <c r="D260" s="39"/>
    </row>
    <row r="261" spans="3:4" x14ac:dyDescent="0.25">
      <c r="C261" s="38"/>
      <c r="D261" s="39"/>
    </row>
    <row r="262" spans="3:4" x14ac:dyDescent="0.25">
      <c r="C262" s="38"/>
      <c r="D262" s="39"/>
    </row>
    <row r="263" spans="3:4" x14ac:dyDescent="0.25">
      <c r="C263" s="38"/>
      <c r="D263" s="39"/>
    </row>
    <row r="264" spans="3:4" x14ac:dyDescent="0.25">
      <c r="C264" s="38"/>
      <c r="D264" s="39"/>
    </row>
    <row r="265" spans="3:4" x14ac:dyDescent="0.25">
      <c r="C265" s="38"/>
      <c r="D265" s="39"/>
    </row>
    <row r="266" spans="3:4" x14ac:dyDescent="0.25">
      <c r="C266" s="38"/>
      <c r="D266" s="39"/>
    </row>
    <row r="267" spans="3:4" x14ac:dyDescent="0.25">
      <c r="C267" s="38"/>
      <c r="D267" s="39"/>
    </row>
    <row r="268" spans="3:4" x14ac:dyDescent="0.25">
      <c r="C268" s="38"/>
      <c r="D268" s="39"/>
    </row>
    <row r="269" spans="3:4" x14ac:dyDescent="0.25">
      <c r="C269" s="38"/>
      <c r="D269" s="39"/>
    </row>
    <row r="270" spans="3:4" x14ac:dyDescent="0.25">
      <c r="C270" s="38"/>
      <c r="D270" s="39"/>
    </row>
    <row r="271" spans="3:4" x14ac:dyDescent="0.25">
      <c r="C271" s="38"/>
      <c r="D271" s="39"/>
    </row>
    <row r="272" spans="3:4" x14ac:dyDescent="0.25">
      <c r="C272" s="38"/>
      <c r="D272" s="39"/>
    </row>
    <row r="273" spans="3:4" x14ac:dyDescent="0.25">
      <c r="C273" s="38"/>
      <c r="D273" s="39"/>
    </row>
    <row r="274" spans="3:4" x14ac:dyDescent="0.25">
      <c r="C274" s="38"/>
      <c r="D274" s="39"/>
    </row>
    <row r="275" spans="3:4" x14ac:dyDescent="0.25">
      <c r="C275" s="38"/>
      <c r="D275" s="39"/>
    </row>
    <row r="276" spans="3:4" x14ac:dyDescent="0.25">
      <c r="C276" s="38"/>
      <c r="D276" s="39"/>
    </row>
    <row r="277" spans="3:4" x14ac:dyDescent="0.25">
      <c r="C277" s="38"/>
      <c r="D277" s="39"/>
    </row>
    <row r="278" spans="3:4" x14ac:dyDescent="0.25">
      <c r="C278" s="38"/>
      <c r="D278" s="39"/>
    </row>
    <row r="279" spans="3:4" x14ac:dyDescent="0.25">
      <c r="C279" s="38"/>
      <c r="D279" s="39"/>
    </row>
    <row r="280" spans="3:4" x14ac:dyDescent="0.25">
      <c r="C280" s="38"/>
      <c r="D280" s="39"/>
    </row>
    <row r="281" spans="3:4" x14ac:dyDescent="0.25">
      <c r="C281" s="38"/>
      <c r="D281" s="39"/>
    </row>
    <row r="282" spans="3:4" x14ac:dyDescent="0.25">
      <c r="C282" s="38"/>
      <c r="D282" s="39"/>
    </row>
    <row r="283" spans="3:4" x14ac:dyDescent="0.25">
      <c r="C283" s="38"/>
      <c r="D283" s="39"/>
    </row>
    <row r="284" spans="3:4" x14ac:dyDescent="0.25">
      <c r="C284" s="38"/>
      <c r="D284" s="39"/>
    </row>
    <row r="285" spans="3:4" x14ac:dyDescent="0.25">
      <c r="C285" s="38"/>
      <c r="D285" s="39"/>
    </row>
    <row r="286" spans="3:4" x14ac:dyDescent="0.25">
      <c r="C286" s="38"/>
      <c r="D286" s="39"/>
    </row>
    <row r="287" spans="3:4" x14ac:dyDescent="0.25">
      <c r="C287" s="38"/>
      <c r="D287" s="39"/>
    </row>
    <row r="288" spans="3:4" x14ac:dyDescent="0.25">
      <c r="C288" s="38"/>
      <c r="D288" s="39"/>
    </row>
    <row r="289" spans="3:4" x14ac:dyDescent="0.25">
      <c r="C289" s="38"/>
      <c r="D289" s="39"/>
    </row>
    <row r="290" spans="3:4" x14ac:dyDescent="0.25">
      <c r="C290" s="38"/>
      <c r="D290" s="39"/>
    </row>
    <row r="291" spans="3:4" x14ac:dyDescent="0.25">
      <c r="C291" s="38"/>
      <c r="D291" s="39"/>
    </row>
    <row r="292" spans="3:4" x14ac:dyDescent="0.25">
      <c r="C292" s="38"/>
      <c r="D292" s="39"/>
    </row>
    <row r="293" spans="3:4" x14ac:dyDescent="0.25">
      <c r="C293" s="38"/>
      <c r="D293" s="39"/>
    </row>
    <row r="294" spans="3:4" x14ac:dyDescent="0.25">
      <c r="C294" s="38"/>
      <c r="D294" s="39"/>
    </row>
    <row r="295" spans="3:4" x14ac:dyDescent="0.25">
      <c r="C295" s="38"/>
      <c r="D295" s="39"/>
    </row>
    <row r="296" spans="3:4" x14ac:dyDescent="0.25">
      <c r="C296" s="38"/>
      <c r="D296" s="39"/>
    </row>
    <row r="297" spans="3:4" x14ac:dyDescent="0.25">
      <c r="C297" s="38"/>
      <c r="D297" s="39"/>
    </row>
    <row r="298" spans="3:4" x14ac:dyDescent="0.25">
      <c r="C298" s="38"/>
      <c r="D298" s="39"/>
    </row>
    <row r="299" spans="3:4" x14ac:dyDescent="0.25">
      <c r="C299" s="38"/>
      <c r="D299" s="39"/>
    </row>
    <row r="300" spans="3:4" x14ac:dyDescent="0.25">
      <c r="C300" s="38"/>
      <c r="D300" s="39"/>
    </row>
    <row r="301" spans="3:4" x14ac:dyDescent="0.25">
      <c r="C301" s="38"/>
      <c r="D301" s="39"/>
    </row>
    <row r="302" spans="3:4" x14ac:dyDescent="0.25">
      <c r="C302" s="38"/>
      <c r="D302" s="39"/>
    </row>
    <row r="303" spans="3:4" x14ac:dyDescent="0.25">
      <c r="C303" s="38"/>
      <c r="D303" s="39"/>
    </row>
    <row r="304" spans="3:4" x14ac:dyDescent="0.25">
      <c r="C304" s="38"/>
      <c r="D304" s="39"/>
    </row>
    <row r="305" spans="3:4" x14ac:dyDescent="0.25">
      <c r="C305" s="38"/>
      <c r="D305" s="39"/>
    </row>
    <row r="306" spans="3:4" x14ac:dyDescent="0.25">
      <c r="C306" s="38"/>
      <c r="D306" s="39"/>
    </row>
    <row r="307" spans="3:4" x14ac:dyDescent="0.25">
      <c r="C307" s="38"/>
      <c r="D307" s="39"/>
    </row>
    <row r="308" spans="3:4" x14ac:dyDescent="0.25">
      <c r="C308" s="38"/>
      <c r="D308" s="39"/>
    </row>
    <row r="309" spans="3:4" x14ac:dyDescent="0.25">
      <c r="C309" s="38"/>
      <c r="D309" s="39"/>
    </row>
    <row r="310" spans="3:4" x14ac:dyDescent="0.25">
      <c r="C310" s="38"/>
      <c r="D310" s="39"/>
    </row>
    <row r="311" spans="3:4" x14ac:dyDescent="0.25">
      <c r="C311" s="38"/>
      <c r="D311" s="39"/>
    </row>
    <row r="312" spans="3:4" x14ac:dyDescent="0.25">
      <c r="C312" s="38"/>
      <c r="D312" s="39"/>
    </row>
    <row r="313" spans="3:4" x14ac:dyDescent="0.25">
      <c r="C313" s="38"/>
      <c r="D313" s="39"/>
    </row>
    <row r="314" spans="3:4" x14ac:dyDescent="0.25">
      <c r="C314" s="38"/>
      <c r="D314" s="39"/>
    </row>
    <row r="315" spans="3:4" x14ac:dyDescent="0.25">
      <c r="C315" s="38"/>
      <c r="D315" s="39"/>
    </row>
    <row r="316" spans="3:4" x14ac:dyDescent="0.25">
      <c r="C316" s="38"/>
      <c r="D316" s="39"/>
    </row>
    <row r="317" spans="3:4" x14ac:dyDescent="0.25">
      <c r="C317" s="38"/>
      <c r="D317" s="39"/>
    </row>
    <row r="318" spans="3:4" x14ac:dyDescent="0.25">
      <c r="C318" s="38"/>
      <c r="D318" s="39"/>
    </row>
    <row r="319" spans="3:4" x14ac:dyDescent="0.25">
      <c r="C319" s="38"/>
      <c r="D319" s="39"/>
    </row>
    <row r="320" spans="3:4" x14ac:dyDescent="0.25">
      <c r="C320" s="38"/>
      <c r="D320" s="39"/>
    </row>
    <row r="321" spans="3:4" x14ac:dyDescent="0.25">
      <c r="C321" s="38"/>
      <c r="D321" s="39"/>
    </row>
    <row r="322" spans="3:4" x14ac:dyDescent="0.25">
      <c r="C322" s="38"/>
      <c r="D322" s="39"/>
    </row>
    <row r="323" spans="3:4" x14ac:dyDescent="0.25">
      <c r="C323" s="38"/>
      <c r="D323" s="39"/>
    </row>
    <row r="324" spans="3:4" x14ac:dyDescent="0.25">
      <c r="C324" s="38"/>
      <c r="D324" s="39"/>
    </row>
    <row r="325" spans="3:4" x14ac:dyDescent="0.25">
      <c r="C325" s="38"/>
      <c r="D325" s="39"/>
    </row>
    <row r="326" spans="3:4" x14ac:dyDescent="0.25">
      <c r="C326" s="38"/>
      <c r="D326" s="39"/>
    </row>
    <row r="327" spans="3:4" x14ac:dyDescent="0.25">
      <c r="C327" s="38"/>
      <c r="D327" s="39"/>
    </row>
    <row r="328" spans="3:4" x14ac:dyDescent="0.25">
      <c r="C328" s="38"/>
      <c r="D328" s="39"/>
    </row>
    <row r="329" spans="3:4" x14ac:dyDescent="0.25">
      <c r="C329" s="38"/>
      <c r="D329" s="39"/>
    </row>
    <row r="330" spans="3:4" x14ac:dyDescent="0.25">
      <c r="C330" s="38"/>
      <c r="D330" s="39"/>
    </row>
    <row r="331" spans="3:4" x14ac:dyDescent="0.25">
      <c r="C331" s="38"/>
      <c r="D331" s="39"/>
    </row>
    <row r="332" spans="3:4" x14ac:dyDescent="0.25">
      <c r="C332" s="38"/>
      <c r="D332" s="39"/>
    </row>
    <row r="333" spans="3:4" x14ac:dyDescent="0.25">
      <c r="C333" s="38"/>
      <c r="D333" s="39"/>
    </row>
    <row r="334" spans="3:4" x14ac:dyDescent="0.25">
      <c r="C334" s="38"/>
      <c r="D334" s="39"/>
    </row>
    <row r="335" spans="3:4" x14ac:dyDescent="0.25">
      <c r="C335" s="38"/>
      <c r="D335" s="39"/>
    </row>
    <row r="336" spans="3:4" x14ac:dyDescent="0.25">
      <c r="C336" s="38"/>
      <c r="D336" s="39"/>
    </row>
    <row r="337" spans="3:4" x14ac:dyDescent="0.25">
      <c r="C337" s="38"/>
      <c r="D337" s="39"/>
    </row>
    <row r="338" spans="3:4" x14ac:dyDescent="0.25">
      <c r="C338" s="38"/>
      <c r="D338" s="39"/>
    </row>
    <row r="339" spans="3:4" x14ac:dyDescent="0.25">
      <c r="C339" s="38"/>
      <c r="D339" s="39"/>
    </row>
    <row r="340" spans="3:4" x14ac:dyDescent="0.25">
      <c r="C340" s="38"/>
      <c r="D340" s="39"/>
    </row>
    <row r="341" spans="3:4" x14ac:dyDescent="0.25">
      <c r="C341" s="38"/>
      <c r="D341" s="39"/>
    </row>
    <row r="342" spans="3:4" x14ac:dyDescent="0.25">
      <c r="C342" s="38"/>
      <c r="D342" s="39"/>
    </row>
    <row r="343" spans="3:4" x14ac:dyDescent="0.25">
      <c r="C343" s="38"/>
      <c r="D343" s="39"/>
    </row>
    <row r="344" spans="3:4" x14ac:dyDescent="0.25">
      <c r="C344" s="38"/>
      <c r="D344" s="39"/>
    </row>
    <row r="345" spans="3:4" x14ac:dyDescent="0.25">
      <c r="C345" s="38"/>
      <c r="D345" s="39"/>
    </row>
    <row r="346" spans="3:4" x14ac:dyDescent="0.25">
      <c r="C346" s="38"/>
      <c r="D346" s="39"/>
    </row>
    <row r="347" spans="3:4" x14ac:dyDescent="0.25">
      <c r="C347" s="38"/>
      <c r="D347" s="39"/>
    </row>
    <row r="348" spans="3:4" x14ac:dyDescent="0.25">
      <c r="C348" s="38"/>
      <c r="D348" s="39"/>
    </row>
    <row r="349" spans="3:4" x14ac:dyDescent="0.25">
      <c r="C349" s="38"/>
      <c r="D349" s="39"/>
    </row>
    <row r="350" spans="3:4" x14ac:dyDescent="0.25">
      <c r="C350" s="38"/>
      <c r="D350" s="39"/>
    </row>
    <row r="351" spans="3:4" x14ac:dyDescent="0.25">
      <c r="C351" s="38"/>
      <c r="D351" s="39"/>
    </row>
    <row r="352" spans="3:4" x14ac:dyDescent="0.25">
      <c r="C352" s="38"/>
      <c r="D352" s="39"/>
    </row>
    <row r="353" spans="3:4" x14ac:dyDescent="0.25">
      <c r="C353" s="38"/>
      <c r="D353" s="39"/>
    </row>
    <row r="354" spans="3:4" x14ac:dyDescent="0.25">
      <c r="C354" s="38"/>
      <c r="D354" s="39"/>
    </row>
    <row r="355" spans="3:4" x14ac:dyDescent="0.25">
      <c r="C355" s="38"/>
      <c r="D355" s="39"/>
    </row>
    <row r="356" spans="3:4" x14ac:dyDescent="0.25">
      <c r="C356" s="38"/>
      <c r="D356" s="39"/>
    </row>
    <row r="357" spans="3:4" x14ac:dyDescent="0.25">
      <c r="C357" s="38"/>
      <c r="D357" s="39"/>
    </row>
    <row r="358" spans="3:4" x14ac:dyDescent="0.25">
      <c r="C358" s="38"/>
      <c r="D358" s="39"/>
    </row>
    <row r="359" spans="3:4" x14ac:dyDescent="0.25">
      <c r="C359" s="38"/>
      <c r="D359" s="39"/>
    </row>
    <row r="360" spans="3:4" x14ac:dyDescent="0.25">
      <c r="C360" s="38"/>
      <c r="D360" s="39"/>
    </row>
    <row r="361" spans="3:4" x14ac:dyDescent="0.25">
      <c r="C361" s="38"/>
      <c r="D361" s="39"/>
    </row>
    <row r="362" spans="3:4" x14ac:dyDescent="0.25">
      <c r="C362" s="38"/>
      <c r="D362" s="39"/>
    </row>
    <row r="363" spans="3:4" x14ac:dyDescent="0.25">
      <c r="C363" s="38"/>
      <c r="D363" s="39"/>
    </row>
    <row r="364" spans="3:4" x14ac:dyDescent="0.25">
      <c r="C364" s="38"/>
      <c r="D364" s="39"/>
    </row>
    <row r="365" spans="3:4" x14ac:dyDescent="0.25">
      <c r="C365" s="38"/>
      <c r="D365" s="39"/>
    </row>
    <row r="366" spans="3:4" x14ac:dyDescent="0.25">
      <c r="C366" s="38"/>
      <c r="D366" s="39"/>
    </row>
    <row r="367" spans="3:4" x14ac:dyDescent="0.25">
      <c r="C367" s="38"/>
      <c r="D367" s="39"/>
    </row>
    <row r="368" spans="3:4" x14ac:dyDescent="0.25">
      <c r="C368" s="38"/>
      <c r="D368" s="39"/>
    </row>
    <row r="369" spans="3:4" x14ac:dyDescent="0.25">
      <c r="C369" s="38"/>
      <c r="D369" s="39"/>
    </row>
    <row r="370" spans="3:4" x14ac:dyDescent="0.25">
      <c r="C370" s="38"/>
      <c r="D370" s="39"/>
    </row>
    <row r="371" spans="3:4" x14ac:dyDescent="0.25">
      <c r="C371" s="38"/>
      <c r="D371" s="39"/>
    </row>
    <row r="372" spans="3:4" x14ac:dyDescent="0.25">
      <c r="C372" s="38"/>
      <c r="D372" s="39"/>
    </row>
    <row r="373" spans="3:4" x14ac:dyDescent="0.25">
      <c r="C373" s="38"/>
      <c r="D373" s="39"/>
    </row>
    <row r="374" spans="3:4" x14ac:dyDescent="0.25">
      <c r="C374" s="38"/>
      <c r="D374" s="39"/>
    </row>
    <row r="375" spans="3:4" x14ac:dyDescent="0.25">
      <c r="C375" s="38"/>
      <c r="D375" s="39"/>
    </row>
    <row r="376" spans="3:4" x14ac:dyDescent="0.25">
      <c r="C376" s="38"/>
      <c r="D376" s="39"/>
    </row>
    <row r="377" spans="3:4" x14ac:dyDescent="0.25">
      <c r="C377" s="38"/>
      <c r="D377" s="39"/>
    </row>
    <row r="378" spans="3:4" x14ac:dyDescent="0.25">
      <c r="C378" s="38"/>
      <c r="D378" s="39"/>
    </row>
    <row r="379" spans="3:4" x14ac:dyDescent="0.25">
      <c r="C379" s="38"/>
      <c r="D379" s="39"/>
    </row>
    <row r="380" spans="3:4" x14ac:dyDescent="0.25">
      <c r="C380" s="38"/>
      <c r="D380" s="39"/>
    </row>
    <row r="381" spans="3:4" x14ac:dyDescent="0.25">
      <c r="C381" s="38"/>
      <c r="D381" s="39"/>
    </row>
    <row r="382" spans="3:4" x14ac:dyDescent="0.25">
      <c r="C382" s="38"/>
      <c r="D382" s="39"/>
    </row>
    <row r="383" spans="3:4" x14ac:dyDescent="0.25">
      <c r="C383" s="38"/>
      <c r="D383" s="39"/>
    </row>
    <row r="384" spans="3:4" x14ac:dyDescent="0.25">
      <c r="C384" s="38"/>
      <c r="D384" s="39"/>
    </row>
    <row r="385" spans="3:4" x14ac:dyDescent="0.25">
      <c r="C385" s="38"/>
      <c r="D385" s="39"/>
    </row>
    <row r="386" spans="3:4" x14ac:dyDescent="0.25">
      <c r="C386" s="38"/>
      <c r="D386" s="39"/>
    </row>
    <row r="387" spans="3:4" x14ac:dyDescent="0.25">
      <c r="C387" s="38"/>
      <c r="D387" s="39"/>
    </row>
    <row r="388" spans="3:4" x14ac:dyDescent="0.25">
      <c r="C388" s="38"/>
      <c r="D388" s="39"/>
    </row>
    <row r="389" spans="3:4" x14ac:dyDescent="0.25">
      <c r="C389" s="38"/>
      <c r="D389" s="39"/>
    </row>
    <row r="390" spans="3:4" x14ac:dyDescent="0.25">
      <c r="C390" s="38"/>
      <c r="D390" s="39"/>
    </row>
    <row r="391" spans="3:4" x14ac:dyDescent="0.25">
      <c r="C391" s="38"/>
      <c r="D391" s="39"/>
    </row>
    <row r="392" spans="3:4" x14ac:dyDescent="0.25">
      <c r="C392" s="38"/>
      <c r="D392" s="39"/>
    </row>
    <row r="393" spans="3:4" x14ac:dyDescent="0.25">
      <c r="C393" s="38"/>
      <c r="D393" s="39"/>
    </row>
    <row r="394" spans="3:4" x14ac:dyDescent="0.25">
      <c r="C394" s="38"/>
      <c r="D394" s="39"/>
    </row>
    <row r="395" spans="3:4" x14ac:dyDescent="0.25">
      <c r="C395" s="38"/>
      <c r="D395" s="39"/>
    </row>
    <row r="396" spans="3:4" x14ac:dyDescent="0.25">
      <c r="C396" s="38"/>
      <c r="D396" s="39"/>
    </row>
    <row r="397" spans="3:4" x14ac:dyDescent="0.25">
      <c r="C397" s="38"/>
      <c r="D397" s="39"/>
    </row>
    <row r="398" spans="3:4" x14ac:dyDescent="0.25">
      <c r="C398" s="38"/>
      <c r="D398" s="39"/>
    </row>
    <row r="399" spans="3:4" x14ac:dyDescent="0.25">
      <c r="C399" s="38"/>
      <c r="D399" s="39"/>
    </row>
    <row r="400" spans="3:4" x14ac:dyDescent="0.25">
      <c r="C400" s="38"/>
      <c r="D400" s="39"/>
    </row>
    <row r="401" spans="3:4" x14ac:dyDescent="0.25">
      <c r="C401" s="38"/>
      <c r="D401" s="39"/>
    </row>
    <row r="402" spans="3:4" x14ac:dyDescent="0.25">
      <c r="C402" s="38"/>
      <c r="D402" s="39"/>
    </row>
    <row r="403" spans="3:4" x14ac:dyDescent="0.25">
      <c r="C403" s="38"/>
      <c r="D403" s="39"/>
    </row>
    <row r="404" spans="3:4" x14ac:dyDescent="0.25">
      <c r="C404" s="38"/>
      <c r="D404" s="39"/>
    </row>
    <row r="405" spans="3:4" x14ac:dyDescent="0.25">
      <c r="C405" s="38"/>
      <c r="D405" s="39"/>
    </row>
    <row r="406" spans="3:4" x14ac:dyDescent="0.25">
      <c r="C406" s="38"/>
      <c r="D406" s="39"/>
    </row>
    <row r="407" spans="3:4" x14ac:dyDescent="0.25">
      <c r="C407" s="38"/>
      <c r="D407" s="39"/>
    </row>
    <row r="408" spans="3:4" x14ac:dyDescent="0.25">
      <c r="C408" s="38"/>
      <c r="D408" s="39"/>
    </row>
    <row r="409" spans="3:4" x14ac:dyDescent="0.25">
      <c r="C409" s="38"/>
      <c r="D409" s="39"/>
    </row>
    <row r="410" spans="3:4" x14ac:dyDescent="0.25">
      <c r="C410" s="38"/>
      <c r="D410" s="39"/>
    </row>
    <row r="411" spans="3:4" x14ac:dyDescent="0.25">
      <c r="C411" s="38"/>
      <c r="D411" s="39"/>
    </row>
    <row r="412" spans="3:4" x14ac:dyDescent="0.25">
      <c r="C412" s="38"/>
      <c r="D412" s="39"/>
    </row>
    <row r="413" spans="3:4" x14ac:dyDescent="0.25">
      <c r="C413" s="38"/>
      <c r="D413" s="39"/>
    </row>
    <row r="414" spans="3:4" x14ac:dyDescent="0.25">
      <c r="C414" s="38"/>
      <c r="D414" s="39"/>
    </row>
    <row r="415" spans="3:4" x14ac:dyDescent="0.25">
      <c r="C415" s="38"/>
      <c r="D415" s="39"/>
    </row>
    <row r="416" spans="3:4" x14ac:dyDescent="0.25">
      <c r="C416" s="38"/>
      <c r="D416" s="39"/>
    </row>
    <row r="417" spans="3:4" x14ac:dyDescent="0.25">
      <c r="C417" s="38"/>
      <c r="D417" s="39"/>
    </row>
    <row r="418" spans="3:4" x14ac:dyDescent="0.25">
      <c r="C418" s="38"/>
      <c r="D418" s="39"/>
    </row>
    <row r="419" spans="3:4" x14ac:dyDescent="0.25">
      <c r="C419" s="38"/>
      <c r="D419" s="39"/>
    </row>
    <row r="420" spans="3:4" x14ac:dyDescent="0.25">
      <c r="C420" s="38"/>
      <c r="D420" s="39"/>
    </row>
    <row r="421" spans="3:4" x14ac:dyDescent="0.25">
      <c r="C421" s="38"/>
      <c r="D421" s="39"/>
    </row>
    <row r="422" spans="3:4" x14ac:dyDescent="0.25">
      <c r="C422" s="38"/>
      <c r="D422" s="39"/>
    </row>
    <row r="423" spans="3:4" x14ac:dyDescent="0.25">
      <c r="C423" s="38"/>
      <c r="D423" s="39"/>
    </row>
    <row r="424" spans="3:4" x14ac:dyDescent="0.25">
      <c r="C424" s="38"/>
      <c r="D424" s="39"/>
    </row>
    <row r="425" spans="3:4" x14ac:dyDescent="0.25">
      <c r="C425" s="38"/>
      <c r="D425" s="39"/>
    </row>
    <row r="426" spans="3:4" x14ac:dyDescent="0.25">
      <c r="C426" s="38"/>
      <c r="D426" s="39"/>
    </row>
    <row r="427" spans="3:4" x14ac:dyDescent="0.25">
      <c r="C427" s="38"/>
      <c r="D427" s="39"/>
    </row>
    <row r="428" spans="3:4" x14ac:dyDescent="0.25">
      <c r="C428" s="38"/>
      <c r="D428" s="39"/>
    </row>
    <row r="429" spans="3:4" x14ac:dyDescent="0.25">
      <c r="C429" s="38"/>
      <c r="D429" s="39"/>
    </row>
    <row r="430" spans="3:4" x14ac:dyDescent="0.25">
      <c r="C430" s="38"/>
      <c r="D430" s="39"/>
    </row>
    <row r="431" spans="3:4" x14ac:dyDescent="0.25">
      <c r="C431" s="38"/>
      <c r="D431" s="39"/>
    </row>
    <row r="432" spans="3:4" x14ac:dyDescent="0.25">
      <c r="C432" s="38"/>
      <c r="D432" s="39"/>
    </row>
    <row r="433" spans="3:4" x14ac:dyDescent="0.25">
      <c r="C433" s="38"/>
      <c r="D433" s="39"/>
    </row>
    <row r="434" spans="3:4" x14ac:dyDescent="0.25">
      <c r="C434" s="38"/>
      <c r="D434" s="39"/>
    </row>
    <row r="435" spans="3:4" x14ac:dyDescent="0.25">
      <c r="C435" s="38"/>
      <c r="D435" s="39"/>
    </row>
    <row r="436" spans="3:4" x14ac:dyDescent="0.25">
      <c r="C436" s="38"/>
      <c r="D436" s="39"/>
    </row>
    <row r="437" spans="3:4" x14ac:dyDescent="0.25">
      <c r="C437" s="38"/>
      <c r="D437" s="39"/>
    </row>
    <row r="438" spans="3:4" x14ac:dyDescent="0.25">
      <c r="C438" s="38"/>
      <c r="D438" s="39"/>
    </row>
    <row r="439" spans="3:4" x14ac:dyDescent="0.25">
      <c r="C439" s="38"/>
      <c r="D439" s="39"/>
    </row>
    <row r="440" spans="3:4" x14ac:dyDescent="0.25">
      <c r="C440" s="38"/>
      <c r="D440" s="39"/>
    </row>
    <row r="441" spans="3:4" x14ac:dyDescent="0.25">
      <c r="C441" s="38"/>
      <c r="D441" s="39"/>
    </row>
    <row r="442" spans="3:4" x14ac:dyDescent="0.25">
      <c r="C442" s="38"/>
      <c r="D442" s="39"/>
    </row>
    <row r="443" spans="3:4" x14ac:dyDescent="0.25">
      <c r="C443" s="38"/>
      <c r="D443" s="39"/>
    </row>
    <row r="444" spans="3:4" x14ac:dyDescent="0.25">
      <c r="C444" s="38"/>
      <c r="D444" s="39"/>
    </row>
    <row r="445" spans="3:4" x14ac:dyDescent="0.25">
      <c r="C445" s="38"/>
      <c r="D445" s="39"/>
    </row>
    <row r="446" spans="3:4" x14ac:dyDescent="0.25">
      <c r="C446" s="38"/>
      <c r="D446" s="39"/>
    </row>
    <row r="447" spans="3:4" x14ac:dyDescent="0.25">
      <c r="C447" s="38"/>
      <c r="D447" s="39"/>
    </row>
    <row r="448" spans="3:4" x14ac:dyDescent="0.25">
      <c r="C448" s="38"/>
      <c r="D448" s="39"/>
    </row>
    <row r="449" spans="3:4" x14ac:dyDescent="0.25">
      <c r="C449" s="38"/>
      <c r="D449" s="39"/>
    </row>
    <row r="450" spans="3:4" x14ac:dyDescent="0.25">
      <c r="C450" s="38"/>
      <c r="D450" s="39"/>
    </row>
    <row r="451" spans="3:4" x14ac:dyDescent="0.25">
      <c r="C451" s="38"/>
      <c r="D451" s="39"/>
    </row>
    <row r="452" spans="3:4" x14ac:dyDescent="0.25">
      <c r="C452" s="38"/>
      <c r="D452" s="39"/>
    </row>
    <row r="453" spans="3:4" x14ac:dyDescent="0.25">
      <c r="C453" s="38"/>
      <c r="D453" s="39"/>
    </row>
    <row r="454" spans="3:4" x14ac:dyDescent="0.25">
      <c r="C454" s="38"/>
      <c r="D454" s="39"/>
    </row>
    <row r="455" spans="3:4" x14ac:dyDescent="0.25">
      <c r="C455" s="38"/>
      <c r="D455" s="39"/>
    </row>
    <row r="456" spans="3:4" x14ac:dyDescent="0.25">
      <c r="C456" s="38"/>
      <c r="D456" s="39"/>
    </row>
    <row r="457" spans="3:4" x14ac:dyDescent="0.25">
      <c r="C457" s="38"/>
      <c r="D457" s="38"/>
    </row>
    <row r="458" spans="3:4" x14ac:dyDescent="0.25">
      <c r="C458" s="38"/>
      <c r="D458" s="38"/>
    </row>
    <row r="459" spans="3:4" x14ac:dyDescent="0.25">
      <c r="C459" s="38"/>
      <c r="D459" s="38"/>
    </row>
    <row r="460" spans="3:4" x14ac:dyDescent="0.25">
      <c r="C460" s="38"/>
      <c r="D460" s="38"/>
    </row>
    <row r="461" spans="3:4" x14ac:dyDescent="0.25">
      <c r="C461" s="38"/>
      <c r="D461" s="38"/>
    </row>
    <row r="462" spans="3:4" x14ac:dyDescent="0.25">
      <c r="C462" s="38"/>
      <c r="D462" s="38"/>
    </row>
    <row r="463" spans="3:4" x14ac:dyDescent="0.25">
      <c r="C463" s="38"/>
      <c r="D463" s="38"/>
    </row>
    <row r="464" spans="3:4" x14ac:dyDescent="0.25">
      <c r="C464" s="38"/>
      <c r="D464" s="38"/>
    </row>
    <row r="465" spans="3:4" x14ac:dyDescent="0.25">
      <c r="C465" s="38"/>
      <c r="D465" s="38"/>
    </row>
    <row r="466" spans="3:4" x14ac:dyDescent="0.25">
      <c r="C466" s="38"/>
      <c r="D466" s="38"/>
    </row>
    <row r="467" spans="3:4" x14ac:dyDescent="0.25">
      <c r="C467" s="38"/>
      <c r="D467" s="38"/>
    </row>
    <row r="468" spans="3:4" x14ac:dyDescent="0.25">
      <c r="C468" s="38"/>
      <c r="D468" s="38"/>
    </row>
    <row r="469" spans="3:4" x14ac:dyDescent="0.25">
      <c r="C469" s="38"/>
      <c r="D469" s="38"/>
    </row>
    <row r="470" spans="3:4" x14ac:dyDescent="0.25">
      <c r="C470" s="38"/>
      <c r="D470" s="38"/>
    </row>
    <row r="471" spans="3:4" x14ac:dyDescent="0.25">
      <c r="C471" s="38"/>
      <c r="D471" s="38"/>
    </row>
    <row r="472" spans="3:4" x14ac:dyDescent="0.25">
      <c r="C472" s="38"/>
      <c r="D472" s="38"/>
    </row>
    <row r="473" spans="3:4" x14ac:dyDescent="0.25">
      <c r="C473" s="38"/>
      <c r="D473" s="38"/>
    </row>
    <row r="474" spans="3:4" x14ac:dyDescent="0.25">
      <c r="C474" s="38"/>
      <c r="D474" s="38"/>
    </row>
    <row r="475" spans="3:4" x14ac:dyDescent="0.25">
      <c r="C475" s="38"/>
      <c r="D475" s="38"/>
    </row>
    <row r="476" spans="3:4" x14ac:dyDescent="0.25">
      <c r="C476" s="38"/>
      <c r="D476" s="38"/>
    </row>
    <row r="477" spans="3:4" x14ac:dyDescent="0.25">
      <c r="C477" s="38"/>
      <c r="D477" s="38"/>
    </row>
    <row r="478" spans="3:4" x14ac:dyDescent="0.25">
      <c r="C478" s="38"/>
      <c r="D478" s="38"/>
    </row>
    <row r="479" spans="3:4" x14ac:dyDescent="0.25">
      <c r="C479" s="38"/>
      <c r="D479" s="38"/>
    </row>
    <row r="480" spans="3:4" x14ac:dyDescent="0.25">
      <c r="C480" s="38"/>
      <c r="D480" s="38"/>
    </row>
    <row r="481" spans="3:4" x14ac:dyDescent="0.25">
      <c r="C481" s="38"/>
      <c r="D481" s="38"/>
    </row>
    <row r="482" spans="3:4" x14ac:dyDescent="0.25">
      <c r="C482" s="38"/>
      <c r="D482" s="38"/>
    </row>
    <row r="483" spans="3:4" x14ac:dyDescent="0.25">
      <c r="C483" s="38"/>
      <c r="D483" s="38"/>
    </row>
    <row r="484" spans="3:4" x14ac:dyDescent="0.25">
      <c r="C484" s="38"/>
      <c r="D484" s="38"/>
    </row>
    <row r="485" spans="3:4" x14ac:dyDescent="0.25">
      <c r="C485" s="38"/>
      <c r="D485" s="38"/>
    </row>
    <row r="486" spans="3:4" x14ac:dyDescent="0.25">
      <c r="C486" s="38"/>
      <c r="D486" s="38"/>
    </row>
    <row r="487" spans="3:4" x14ac:dyDescent="0.25">
      <c r="C487" s="38"/>
      <c r="D487" s="38"/>
    </row>
    <row r="488" spans="3:4" x14ac:dyDescent="0.25">
      <c r="C488" s="38"/>
      <c r="D488" s="38"/>
    </row>
    <row r="489" spans="3:4" x14ac:dyDescent="0.25">
      <c r="C489" s="38"/>
      <c r="D489" s="38"/>
    </row>
    <row r="490" spans="3:4" x14ac:dyDescent="0.25">
      <c r="C490" s="38"/>
      <c r="D490" s="38"/>
    </row>
    <row r="491" spans="3:4" x14ac:dyDescent="0.25">
      <c r="C491" s="38"/>
      <c r="D491" s="38"/>
    </row>
    <row r="492" spans="3:4" x14ac:dyDescent="0.25">
      <c r="C492" s="38"/>
      <c r="D492" s="38"/>
    </row>
    <row r="493" spans="3:4" x14ac:dyDescent="0.25">
      <c r="C493" s="38"/>
      <c r="D493" s="38"/>
    </row>
    <row r="494" spans="3:4" x14ac:dyDescent="0.25">
      <c r="C494" s="38"/>
      <c r="D494" s="38"/>
    </row>
    <row r="495" spans="3:4" x14ac:dyDescent="0.25">
      <c r="C495" s="38"/>
      <c r="D495" s="38"/>
    </row>
    <row r="496" spans="3:4" x14ac:dyDescent="0.25">
      <c r="C496" s="38"/>
      <c r="D496" s="38"/>
    </row>
    <row r="497" spans="3:4" x14ac:dyDescent="0.25">
      <c r="C497" s="38"/>
      <c r="D497" s="38"/>
    </row>
    <row r="498" spans="3:4" x14ac:dyDescent="0.25">
      <c r="C498" s="38"/>
      <c r="D498" s="38"/>
    </row>
    <row r="499" spans="3:4" x14ac:dyDescent="0.25">
      <c r="C499" s="38"/>
      <c r="D499" s="38"/>
    </row>
    <row r="500" spans="3:4" x14ac:dyDescent="0.25">
      <c r="C500" s="38"/>
      <c r="D500" s="38"/>
    </row>
    <row r="501" spans="3:4" x14ac:dyDescent="0.25">
      <c r="C501" s="38"/>
      <c r="D501" s="38"/>
    </row>
    <row r="502" spans="3:4" x14ac:dyDescent="0.25">
      <c r="C502" s="38"/>
      <c r="D502" s="38"/>
    </row>
    <row r="503" spans="3:4" x14ac:dyDescent="0.25">
      <c r="C503" s="38"/>
      <c r="D503" s="38"/>
    </row>
    <row r="504" spans="3:4" x14ac:dyDescent="0.25">
      <c r="C504" s="38"/>
      <c r="D504" s="38"/>
    </row>
    <row r="505" spans="3:4" x14ac:dyDescent="0.25">
      <c r="C505" s="38"/>
      <c r="D505" s="38"/>
    </row>
    <row r="506" spans="3:4" x14ac:dyDescent="0.25">
      <c r="C506" s="38"/>
      <c r="D506" s="38"/>
    </row>
    <row r="507" spans="3:4" x14ac:dyDescent="0.25">
      <c r="C507" s="38"/>
      <c r="D507" s="38"/>
    </row>
    <row r="508" spans="3:4" x14ac:dyDescent="0.25">
      <c r="C508" s="38"/>
      <c r="D508" s="38"/>
    </row>
    <row r="509" spans="3:4" x14ac:dyDescent="0.25">
      <c r="C509" s="38"/>
      <c r="D509" s="38"/>
    </row>
    <row r="510" spans="3:4" x14ac:dyDescent="0.25">
      <c r="C510" s="38"/>
      <c r="D510" s="38"/>
    </row>
    <row r="511" spans="3:4" x14ac:dyDescent="0.25">
      <c r="C511" s="38"/>
      <c r="D511" s="38"/>
    </row>
    <row r="512" spans="3:4" x14ac:dyDescent="0.25">
      <c r="C512" s="38"/>
      <c r="D512" s="38"/>
    </row>
    <row r="513" spans="3:4" x14ac:dyDescent="0.25">
      <c r="C513" s="38"/>
      <c r="D513" s="38"/>
    </row>
    <row r="514" spans="3:4" x14ac:dyDescent="0.25">
      <c r="C514" s="38"/>
      <c r="D514" s="38"/>
    </row>
    <row r="515" spans="3:4" x14ac:dyDescent="0.25">
      <c r="C515" s="38"/>
      <c r="D515" s="38"/>
    </row>
    <row r="516" spans="3:4" x14ac:dyDescent="0.25">
      <c r="C516" s="38"/>
      <c r="D516" s="38"/>
    </row>
    <row r="517" spans="3:4" x14ac:dyDescent="0.25">
      <c r="C517" s="38"/>
      <c r="D517" s="38"/>
    </row>
    <row r="518" spans="3:4" x14ac:dyDescent="0.25">
      <c r="C518" s="38"/>
      <c r="D518" s="38"/>
    </row>
    <row r="519" spans="3:4" x14ac:dyDescent="0.25">
      <c r="C519" s="38"/>
      <c r="D519" s="38"/>
    </row>
    <row r="520" spans="3:4" x14ac:dyDescent="0.25">
      <c r="C520" s="38"/>
      <c r="D520" s="38"/>
    </row>
    <row r="521" spans="3:4" x14ac:dyDescent="0.25">
      <c r="C521" s="38"/>
      <c r="D521" s="38"/>
    </row>
    <row r="522" spans="3:4" x14ac:dyDescent="0.25">
      <c r="C522" s="38"/>
      <c r="D522" s="38"/>
    </row>
    <row r="523" spans="3:4" x14ac:dyDescent="0.25">
      <c r="C523" s="38"/>
      <c r="D523" s="38"/>
    </row>
    <row r="524" spans="3:4" x14ac:dyDescent="0.25">
      <c r="C524" s="38"/>
      <c r="D524" s="38"/>
    </row>
    <row r="525" spans="3:4" x14ac:dyDescent="0.25">
      <c r="C525" s="38"/>
      <c r="D525" s="38"/>
    </row>
    <row r="526" spans="3:4" x14ac:dyDescent="0.25">
      <c r="C526" s="38"/>
      <c r="D526" s="38"/>
    </row>
    <row r="527" spans="3:4" x14ac:dyDescent="0.25">
      <c r="C527" s="38"/>
      <c r="D527" s="38"/>
    </row>
    <row r="528" spans="3:4" x14ac:dyDescent="0.25">
      <c r="C528" s="38"/>
      <c r="D528" s="38"/>
    </row>
    <row r="529" spans="3:4" x14ac:dyDescent="0.25">
      <c r="C529" s="38"/>
      <c r="D529" s="38"/>
    </row>
    <row r="530" spans="3:4" x14ac:dyDescent="0.25">
      <c r="C530" s="38"/>
      <c r="D530" s="38"/>
    </row>
    <row r="531" spans="3:4" x14ac:dyDescent="0.25">
      <c r="C531" s="38"/>
      <c r="D531" s="38"/>
    </row>
    <row r="532" spans="3:4" x14ac:dyDescent="0.25">
      <c r="C532" s="38"/>
      <c r="D532" s="38"/>
    </row>
    <row r="533" spans="3:4" x14ac:dyDescent="0.25">
      <c r="C533" s="38"/>
      <c r="D533" s="38"/>
    </row>
    <row r="534" spans="3:4" x14ac:dyDescent="0.25">
      <c r="C534" s="38"/>
      <c r="D534" s="38"/>
    </row>
    <row r="535" spans="3:4" x14ac:dyDescent="0.25">
      <c r="C535" s="38"/>
      <c r="D535" s="38"/>
    </row>
    <row r="536" spans="3:4" x14ac:dyDescent="0.25">
      <c r="C536" s="38"/>
      <c r="D536" s="38"/>
    </row>
    <row r="537" spans="3:4" x14ac:dyDescent="0.25">
      <c r="C537" s="38"/>
      <c r="D537" s="38"/>
    </row>
    <row r="538" spans="3:4" x14ac:dyDescent="0.25">
      <c r="C538" s="38"/>
      <c r="D538" s="38"/>
    </row>
    <row r="539" spans="3:4" x14ac:dyDescent="0.25">
      <c r="C539" s="38"/>
      <c r="D539" s="38"/>
    </row>
    <row r="540" spans="3:4" x14ac:dyDescent="0.25">
      <c r="C540" s="38"/>
      <c r="D540" s="38"/>
    </row>
    <row r="541" spans="3:4" x14ac:dyDescent="0.25">
      <c r="C541" s="38"/>
      <c r="D541" s="38"/>
    </row>
    <row r="542" spans="3:4" x14ac:dyDescent="0.25">
      <c r="C542" s="38"/>
      <c r="D542" s="38"/>
    </row>
    <row r="543" spans="3:4" x14ac:dyDescent="0.25">
      <c r="C543" s="38"/>
      <c r="D543" s="38"/>
    </row>
    <row r="544" spans="3:4" x14ac:dyDescent="0.25">
      <c r="C544" s="38"/>
      <c r="D544" s="38"/>
    </row>
    <row r="545" spans="3:4" x14ac:dyDescent="0.25">
      <c r="C545" s="38"/>
      <c r="D545" s="38"/>
    </row>
    <row r="546" spans="3:4" x14ac:dyDescent="0.25">
      <c r="C546" s="38"/>
      <c r="D546" s="38"/>
    </row>
    <row r="547" spans="3:4" x14ac:dyDescent="0.25">
      <c r="C547" s="38"/>
      <c r="D547" s="38"/>
    </row>
    <row r="548" spans="3:4" x14ac:dyDescent="0.25">
      <c r="C548" s="38"/>
      <c r="D548" s="38"/>
    </row>
    <row r="549" spans="3:4" x14ac:dyDescent="0.25">
      <c r="C549" s="38"/>
      <c r="D549" s="38"/>
    </row>
    <row r="550" spans="3:4" x14ac:dyDescent="0.25">
      <c r="C550" s="38"/>
      <c r="D550" s="38"/>
    </row>
    <row r="551" spans="3:4" x14ac:dyDescent="0.25">
      <c r="C551" s="38"/>
      <c r="D551" s="38"/>
    </row>
    <row r="552" spans="3:4" x14ac:dyDescent="0.25">
      <c r="C552" s="38"/>
      <c r="D552" s="38"/>
    </row>
    <row r="553" spans="3:4" x14ac:dyDescent="0.25">
      <c r="C553" s="38"/>
      <c r="D553" s="38"/>
    </row>
    <row r="554" spans="3:4" x14ac:dyDescent="0.25">
      <c r="C554" s="38"/>
      <c r="D554" s="38"/>
    </row>
    <row r="555" spans="3:4" x14ac:dyDescent="0.25">
      <c r="C555" s="38"/>
      <c r="D555" s="38"/>
    </row>
    <row r="556" spans="3:4" x14ac:dyDescent="0.25">
      <c r="C556" s="38"/>
      <c r="D556" s="38"/>
    </row>
    <row r="557" spans="3:4" x14ac:dyDescent="0.25">
      <c r="C557" s="38"/>
      <c r="D557" s="38"/>
    </row>
    <row r="558" spans="3:4" x14ac:dyDescent="0.25">
      <c r="C558" s="38"/>
      <c r="D558" s="38"/>
    </row>
    <row r="559" spans="3:4" x14ac:dyDescent="0.25">
      <c r="C559" s="38"/>
      <c r="D559" s="38"/>
    </row>
    <row r="560" spans="3:4" x14ac:dyDescent="0.25">
      <c r="C560" s="38"/>
      <c r="D560" s="38"/>
    </row>
    <row r="561" spans="3:4" x14ac:dyDescent="0.25">
      <c r="C561" s="38"/>
      <c r="D561" s="38"/>
    </row>
    <row r="562" spans="3:4" x14ac:dyDescent="0.25">
      <c r="C562" s="38"/>
      <c r="D562" s="38"/>
    </row>
    <row r="563" spans="3:4" x14ac:dyDescent="0.25">
      <c r="C563" s="38"/>
      <c r="D563" s="38"/>
    </row>
    <row r="564" spans="3:4" x14ac:dyDescent="0.25">
      <c r="C564" s="38"/>
      <c r="D564" s="38"/>
    </row>
    <row r="565" spans="3:4" x14ac:dyDescent="0.25">
      <c r="C565" s="38"/>
      <c r="D565" s="38"/>
    </row>
    <row r="566" spans="3:4" x14ac:dyDescent="0.25">
      <c r="C566" s="38"/>
      <c r="D566" s="38"/>
    </row>
    <row r="567" spans="3:4" x14ac:dyDescent="0.25">
      <c r="C567" s="38"/>
      <c r="D567" s="38"/>
    </row>
    <row r="568" spans="3:4" x14ac:dyDescent="0.25">
      <c r="C568" s="38"/>
      <c r="D568" s="38"/>
    </row>
    <row r="569" spans="3:4" x14ac:dyDescent="0.25">
      <c r="C569" s="38"/>
      <c r="D569" s="38"/>
    </row>
    <row r="570" spans="3:4" x14ac:dyDescent="0.25">
      <c r="C570" s="38"/>
      <c r="D570" s="38"/>
    </row>
    <row r="571" spans="3:4" x14ac:dyDescent="0.25">
      <c r="C571" s="38"/>
      <c r="D571" s="38"/>
    </row>
    <row r="572" spans="3:4" x14ac:dyDescent="0.25">
      <c r="C572" s="38"/>
      <c r="D572" s="38"/>
    </row>
    <row r="573" spans="3:4" x14ac:dyDescent="0.25">
      <c r="C573" s="38"/>
      <c r="D573" s="38"/>
    </row>
    <row r="574" spans="3:4" x14ac:dyDescent="0.25">
      <c r="C574" s="38"/>
      <c r="D574" s="38"/>
    </row>
    <row r="575" spans="3:4" x14ac:dyDescent="0.25">
      <c r="C575" s="38"/>
      <c r="D575" s="38"/>
    </row>
    <row r="576" spans="3:4" x14ac:dyDescent="0.25">
      <c r="C576" s="38"/>
      <c r="D576" s="38"/>
    </row>
    <row r="577" spans="3:4" x14ac:dyDescent="0.25">
      <c r="C577" s="38"/>
      <c r="D577" s="38"/>
    </row>
    <row r="578" spans="3:4" x14ac:dyDescent="0.25">
      <c r="C578" s="38"/>
      <c r="D578" s="38"/>
    </row>
    <row r="579" spans="3:4" x14ac:dyDescent="0.25">
      <c r="C579" s="38"/>
      <c r="D579" s="38"/>
    </row>
    <row r="580" spans="3:4" x14ac:dyDescent="0.25">
      <c r="C580" s="38"/>
      <c r="D580" s="38"/>
    </row>
    <row r="581" spans="3:4" x14ac:dyDescent="0.25">
      <c r="C581" s="38"/>
      <c r="D581" s="38"/>
    </row>
    <row r="582" spans="3:4" x14ac:dyDescent="0.25">
      <c r="C582" s="38"/>
      <c r="D582" s="38"/>
    </row>
    <row r="583" spans="3:4" x14ac:dyDescent="0.25">
      <c r="C583" s="38"/>
      <c r="D583" s="38"/>
    </row>
    <row r="584" spans="3:4" x14ac:dyDescent="0.25">
      <c r="C584" s="38"/>
      <c r="D584" s="38"/>
    </row>
    <row r="585" spans="3:4" x14ac:dyDescent="0.25">
      <c r="C585" s="38"/>
      <c r="D585" s="38"/>
    </row>
    <row r="586" spans="3:4" x14ac:dyDescent="0.25">
      <c r="C586" s="38"/>
      <c r="D586" s="38"/>
    </row>
    <row r="587" spans="3:4" x14ac:dyDescent="0.25">
      <c r="C587" s="38"/>
      <c r="D587" s="38"/>
    </row>
    <row r="588" spans="3:4" x14ac:dyDescent="0.25">
      <c r="C588" s="38"/>
      <c r="D588" s="38"/>
    </row>
    <row r="589" spans="3:4" x14ac:dyDescent="0.25">
      <c r="C589" s="38"/>
      <c r="D589" s="38"/>
    </row>
    <row r="590" spans="3:4" x14ac:dyDescent="0.25">
      <c r="C590" s="38"/>
      <c r="D590" s="38"/>
    </row>
    <row r="591" spans="3:4" x14ac:dyDescent="0.25">
      <c r="C591" s="38"/>
      <c r="D591" s="38"/>
    </row>
    <row r="592" spans="3:4" x14ac:dyDescent="0.25">
      <c r="C592" s="38"/>
      <c r="D592" s="38"/>
    </row>
    <row r="593" spans="3:4" x14ac:dyDescent="0.25">
      <c r="C593" s="38"/>
      <c r="D593" s="38"/>
    </row>
    <row r="594" spans="3:4" x14ac:dyDescent="0.25">
      <c r="C594" s="38"/>
      <c r="D594" s="38"/>
    </row>
    <row r="595" spans="3:4" x14ac:dyDescent="0.25">
      <c r="C595" s="38"/>
      <c r="D595" s="38"/>
    </row>
    <row r="596" spans="3:4" x14ac:dyDescent="0.25">
      <c r="C596" s="38"/>
      <c r="D596" s="38"/>
    </row>
    <row r="597" spans="3:4" x14ac:dyDescent="0.25">
      <c r="C597" s="38"/>
      <c r="D597" s="38"/>
    </row>
    <row r="598" spans="3:4" x14ac:dyDescent="0.25">
      <c r="C598" s="38"/>
      <c r="D598" s="38"/>
    </row>
    <row r="599" spans="3:4" x14ac:dyDescent="0.25">
      <c r="C599" s="38"/>
      <c r="D599" s="38"/>
    </row>
    <row r="600" spans="3:4" x14ac:dyDescent="0.25">
      <c r="C600" s="38"/>
      <c r="D600" s="38"/>
    </row>
    <row r="601" spans="3:4" x14ac:dyDescent="0.25">
      <c r="C601" s="38"/>
      <c r="D601" s="38"/>
    </row>
    <row r="602" spans="3:4" x14ac:dyDescent="0.25">
      <c r="C602" s="38"/>
      <c r="D602" s="38"/>
    </row>
    <row r="603" spans="3:4" x14ac:dyDescent="0.25">
      <c r="C603" s="38"/>
      <c r="D603" s="38"/>
    </row>
    <row r="604" spans="3:4" x14ac:dyDescent="0.25">
      <c r="C604" s="38"/>
      <c r="D604" s="38"/>
    </row>
    <row r="605" spans="3:4" x14ac:dyDescent="0.25">
      <c r="C605" s="38"/>
      <c r="D605" s="38"/>
    </row>
    <row r="606" spans="3:4" x14ac:dyDescent="0.25">
      <c r="C606" s="38"/>
      <c r="D606" s="38"/>
    </row>
    <row r="607" spans="3:4" x14ac:dyDescent="0.25">
      <c r="C607" s="38"/>
      <c r="D607" s="38"/>
    </row>
    <row r="608" spans="3:4" x14ac:dyDescent="0.25">
      <c r="C608" s="38"/>
      <c r="D608" s="38"/>
    </row>
    <row r="609" spans="3:4" x14ac:dyDescent="0.25">
      <c r="C609" s="38"/>
      <c r="D609" s="38"/>
    </row>
    <row r="610" spans="3:4" x14ac:dyDescent="0.25">
      <c r="C610" s="38"/>
      <c r="D610" s="38"/>
    </row>
    <row r="611" spans="3:4" x14ac:dyDescent="0.25">
      <c r="C611" s="38"/>
      <c r="D611" s="38"/>
    </row>
    <row r="612" spans="3:4" x14ac:dyDescent="0.25">
      <c r="C612" s="38"/>
      <c r="D612" s="38"/>
    </row>
    <row r="613" spans="3:4" x14ac:dyDescent="0.25">
      <c r="C613" s="38"/>
      <c r="D613" s="38"/>
    </row>
    <row r="614" spans="3:4" x14ac:dyDescent="0.25">
      <c r="C614" s="38"/>
      <c r="D614" s="38"/>
    </row>
    <row r="615" spans="3:4" x14ac:dyDescent="0.25">
      <c r="C615" s="38"/>
      <c r="D615" s="38"/>
    </row>
    <row r="616" spans="3:4" x14ac:dyDescent="0.25">
      <c r="C616" s="38"/>
      <c r="D616" s="38"/>
    </row>
    <row r="617" spans="3:4" x14ac:dyDescent="0.25">
      <c r="C617" s="38"/>
      <c r="D617" s="38"/>
    </row>
    <row r="618" spans="3:4" x14ac:dyDescent="0.25">
      <c r="C618" s="38"/>
      <c r="D618" s="38"/>
    </row>
    <row r="619" spans="3:4" x14ac:dyDescent="0.25">
      <c r="C619" s="38"/>
      <c r="D619" s="38"/>
    </row>
    <row r="620" spans="3:4" x14ac:dyDescent="0.25">
      <c r="C620" s="38"/>
      <c r="D620" s="38"/>
    </row>
    <row r="621" spans="3:4" x14ac:dyDescent="0.25">
      <c r="C621" s="38"/>
      <c r="D621" s="38"/>
    </row>
    <row r="622" spans="3:4" x14ac:dyDescent="0.25">
      <c r="C622" s="38"/>
      <c r="D622" s="38"/>
    </row>
    <row r="623" spans="3:4" x14ac:dyDescent="0.25">
      <c r="C623" s="38"/>
      <c r="D623" s="38"/>
    </row>
    <row r="624" spans="3:4" x14ac:dyDescent="0.25">
      <c r="C624" s="38"/>
      <c r="D624" s="38"/>
    </row>
    <row r="625" spans="3:4" x14ac:dyDescent="0.25">
      <c r="C625" s="38"/>
      <c r="D625" s="38"/>
    </row>
    <row r="626" spans="3:4" x14ac:dyDescent="0.25">
      <c r="C626" s="38"/>
      <c r="D626" s="38"/>
    </row>
    <row r="627" spans="3:4" x14ac:dyDescent="0.25">
      <c r="C627" s="38"/>
      <c r="D627" s="38"/>
    </row>
    <row r="628" spans="3:4" x14ac:dyDescent="0.25">
      <c r="C628" s="38"/>
      <c r="D628" s="38"/>
    </row>
    <row r="629" spans="3:4" x14ac:dyDescent="0.25">
      <c r="C629" s="38"/>
      <c r="D629" s="38"/>
    </row>
    <row r="630" spans="3:4" x14ac:dyDescent="0.25">
      <c r="C630" s="38"/>
      <c r="D630" s="38"/>
    </row>
    <row r="631" spans="3:4" x14ac:dyDescent="0.25">
      <c r="C631" s="38"/>
      <c r="D631" s="38"/>
    </row>
    <row r="632" spans="3:4" x14ac:dyDescent="0.25">
      <c r="C632" s="38"/>
      <c r="D632" s="38"/>
    </row>
    <row r="633" spans="3:4" x14ac:dyDescent="0.25">
      <c r="C633" s="38"/>
      <c r="D633" s="38"/>
    </row>
    <row r="634" spans="3:4" x14ac:dyDescent="0.25">
      <c r="C634" s="38"/>
      <c r="D634" s="38"/>
    </row>
    <row r="635" spans="3:4" x14ac:dyDescent="0.25">
      <c r="C635" s="38"/>
      <c r="D635" s="38"/>
    </row>
    <row r="636" spans="3:4" x14ac:dyDescent="0.25">
      <c r="C636" s="38"/>
      <c r="D636" s="38"/>
    </row>
    <row r="637" spans="3:4" x14ac:dyDescent="0.25">
      <c r="C637" s="38"/>
      <c r="D637" s="38"/>
    </row>
    <row r="638" spans="3:4" x14ac:dyDescent="0.25">
      <c r="C638" s="38"/>
      <c r="D638" s="38"/>
    </row>
    <row r="639" spans="3:4" x14ac:dyDescent="0.25">
      <c r="C639" s="38"/>
      <c r="D639" s="38"/>
    </row>
    <row r="640" spans="3:4" x14ac:dyDescent="0.25">
      <c r="C640" s="38"/>
      <c r="D640" s="38"/>
    </row>
    <row r="641" spans="3:4" x14ac:dyDescent="0.25">
      <c r="C641" s="38"/>
      <c r="D641" s="38"/>
    </row>
    <row r="642" spans="3:4" x14ac:dyDescent="0.25">
      <c r="C642" s="38"/>
      <c r="D642" s="38"/>
    </row>
    <row r="643" spans="3:4" x14ac:dyDescent="0.25">
      <c r="C643" s="38"/>
      <c r="D643" s="38"/>
    </row>
    <row r="644" spans="3:4" x14ac:dyDescent="0.25">
      <c r="C644" s="38"/>
      <c r="D644" s="38"/>
    </row>
    <row r="645" spans="3:4" x14ac:dyDescent="0.25">
      <c r="C645" s="38"/>
      <c r="D645" s="38"/>
    </row>
    <row r="646" spans="3:4" x14ac:dyDescent="0.25">
      <c r="C646" s="38"/>
      <c r="D646" s="38"/>
    </row>
    <row r="647" spans="3:4" x14ac:dyDescent="0.25">
      <c r="C647" s="38"/>
      <c r="D647" s="38"/>
    </row>
    <row r="648" spans="3:4" x14ac:dyDescent="0.25">
      <c r="C648" s="38"/>
      <c r="D648" s="38"/>
    </row>
    <row r="649" spans="3:4" x14ac:dyDescent="0.25">
      <c r="C649" s="38"/>
      <c r="D649" s="38"/>
    </row>
    <row r="650" spans="3:4" x14ac:dyDescent="0.25">
      <c r="C650" s="38"/>
      <c r="D650" s="38"/>
    </row>
    <row r="651" spans="3:4" x14ac:dyDescent="0.25">
      <c r="C651" s="38"/>
      <c r="D651" s="38"/>
    </row>
    <row r="652" spans="3:4" x14ac:dyDescent="0.25">
      <c r="C652" s="38"/>
      <c r="D652" s="38"/>
    </row>
    <row r="653" spans="3:4" x14ac:dyDescent="0.25">
      <c r="C653" s="38"/>
      <c r="D653" s="38"/>
    </row>
    <row r="654" spans="3:4" x14ac:dyDescent="0.25">
      <c r="C654" s="38"/>
      <c r="D654" s="38"/>
    </row>
    <row r="655" spans="3:4" x14ac:dyDescent="0.25">
      <c r="C655" s="38"/>
      <c r="D655" s="38"/>
    </row>
    <row r="656" spans="3:4" x14ac:dyDescent="0.25">
      <c r="C656" s="38"/>
      <c r="D656" s="38"/>
    </row>
    <row r="657" spans="3:4" x14ac:dyDescent="0.25">
      <c r="C657" s="38"/>
      <c r="D657" s="38"/>
    </row>
    <row r="658" spans="3:4" x14ac:dyDescent="0.25">
      <c r="C658" s="38"/>
      <c r="D658" s="38"/>
    </row>
    <row r="659" spans="3:4" x14ac:dyDescent="0.25">
      <c r="C659" s="38"/>
      <c r="D659" s="38"/>
    </row>
    <row r="660" spans="3:4" x14ac:dyDescent="0.25">
      <c r="C660" s="38"/>
      <c r="D660" s="38"/>
    </row>
    <row r="661" spans="3:4" x14ac:dyDescent="0.25">
      <c r="C661" s="38"/>
      <c r="D661" s="38"/>
    </row>
    <row r="662" spans="3:4" x14ac:dyDescent="0.25">
      <c r="C662" s="38"/>
      <c r="D662" s="38"/>
    </row>
    <row r="663" spans="3:4" x14ac:dyDescent="0.25">
      <c r="C663" s="38"/>
      <c r="D663" s="38"/>
    </row>
    <row r="664" spans="3:4" x14ac:dyDescent="0.25">
      <c r="C664" s="38"/>
      <c r="D664" s="38"/>
    </row>
    <row r="665" spans="3:4" x14ac:dyDescent="0.25">
      <c r="C665" s="38"/>
      <c r="D665" s="38"/>
    </row>
    <row r="666" spans="3:4" x14ac:dyDescent="0.25">
      <c r="C666" s="38"/>
      <c r="D666" s="38"/>
    </row>
    <row r="667" spans="3:4" x14ac:dyDescent="0.25">
      <c r="C667" s="38"/>
      <c r="D667" s="38"/>
    </row>
    <row r="668" spans="3:4" x14ac:dyDescent="0.25">
      <c r="C668" s="38"/>
      <c r="D668" s="38"/>
    </row>
    <row r="669" spans="3:4" x14ac:dyDescent="0.25">
      <c r="C669" s="38"/>
      <c r="D669" s="38"/>
    </row>
    <row r="670" spans="3:4" x14ac:dyDescent="0.25">
      <c r="C670" s="38"/>
      <c r="D670" s="38"/>
    </row>
    <row r="671" spans="3:4" x14ac:dyDescent="0.25">
      <c r="C671" s="38"/>
      <c r="D671" s="38"/>
    </row>
    <row r="672" spans="3:4" x14ac:dyDescent="0.25">
      <c r="C672" s="38"/>
      <c r="D672" s="38"/>
    </row>
    <row r="673" spans="3:4" x14ac:dyDescent="0.25">
      <c r="C673" s="38"/>
      <c r="D673" s="38"/>
    </row>
    <row r="674" spans="3:4" x14ac:dyDescent="0.25">
      <c r="C674" s="38"/>
      <c r="D674" s="38"/>
    </row>
    <row r="675" spans="3:4" x14ac:dyDescent="0.25">
      <c r="C675" s="38"/>
      <c r="D675" s="38"/>
    </row>
    <row r="676" spans="3:4" x14ac:dyDescent="0.25">
      <c r="C676" s="38"/>
      <c r="D676" s="38"/>
    </row>
    <row r="677" spans="3:4" x14ac:dyDescent="0.25">
      <c r="C677" s="38"/>
      <c r="D677" s="38"/>
    </row>
    <row r="678" spans="3:4" x14ac:dyDescent="0.25">
      <c r="C678" s="38"/>
      <c r="D678" s="38"/>
    </row>
    <row r="679" spans="3:4" x14ac:dyDescent="0.25">
      <c r="C679" s="38"/>
      <c r="D679" s="38"/>
    </row>
    <row r="680" spans="3:4" x14ac:dyDescent="0.25">
      <c r="C680" s="38"/>
      <c r="D680" s="38"/>
    </row>
    <row r="681" spans="3:4" x14ac:dyDescent="0.25">
      <c r="C681" s="38"/>
      <c r="D681" s="38"/>
    </row>
    <row r="682" spans="3:4" x14ac:dyDescent="0.25">
      <c r="C682" s="38"/>
      <c r="D682" s="38"/>
    </row>
    <row r="683" spans="3:4" x14ac:dyDescent="0.25">
      <c r="C683" s="38"/>
      <c r="D683" s="38"/>
    </row>
    <row r="684" spans="3:4" x14ac:dyDescent="0.25">
      <c r="C684" s="38"/>
      <c r="D684" s="38"/>
    </row>
    <row r="685" spans="3:4" x14ac:dyDescent="0.25">
      <c r="C685" s="38"/>
      <c r="D685" s="38"/>
    </row>
    <row r="686" spans="3:4" x14ac:dyDescent="0.25">
      <c r="C686" s="38"/>
      <c r="D686" s="38"/>
    </row>
    <row r="687" spans="3:4" x14ac:dyDescent="0.25">
      <c r="C687" s="38"/>
      <c r="D687" s="38"/>
    </row>
    <row r="688" spans="3:4" x14ac:dyDescent="0.25">
      <c r="C688" s="38"/>
      <c r="D688" s="38"/>
    </row>
    <row r="689" spans="3:4" x14ac:dyDescent="0.25">
      <c r="C689" s="38"/>
      <c r="D689" s="38"/>
    </row>
    <row r="690" spans="3:4" x14ac:dyDescent="0.25">
      <c r="C690" s="38"/>
      <c r="D690" s="38"/>
    </row>
    <row r="691" spans="3:4" x14ac:dyDescent="0.25">
      <c r="C691" s="38"/>
      <c r="D691" s="38"/>
    </row>
    <row r="692" spans="3:4" x14ac:dyDescent="0.25">
      <c r="C692" s="38"/>
      <c r="D692" s="38"/>
    </row>
    <row r="693" spans="3:4" x14ac:dyDescent="0.25">
      <c r="C693" s="38"/>
      <c r="D693" s="38"/>
    </row>
    <row r="694" spans="3:4" x14ac:dyDescent="0.25">
      <c r="C694" s="38"/>
      <c r="D694" s="38"/>
    </row>
    <row r="695" spans="3:4" x14ac:dyDescent="0.25">
      <c r="C695" s="38"/>
      <c r="D695" s="38"/>
    </row>
    <row r="696" spans="3:4" x14ac:dyDescent="0.25">
      <c r="C696" s="38"/>
      <c r="D696" s="38"/>
    </row>
    <row r="697" spans="3:4" x14ac:dyDescent="0.25">
      <c r="C697" s="38"/>
      <c r="D697" s="38"/>
    </row>
    <row r="698" spans="3:4" x14ac:dyDescent="0.25">
      <c r="C698" s="38"/>
      <c r="D698" s="38"/>
    </row>
    <row r="699" spans="3:4" x14ac:dyDescent="0.25">
      <c r="C699" s="38"/>
      <c r="D699" s="38"/>
    </row>
    <row r="700" spans="3:4" x14ac:dyDescent="0.25">
      <c r="C700" s="38"/>
      <c r="D700" s="38"/>
    </row>
    <row r="701" spans="3:4" x14ac:dyDescent="0.25">
      <c r="C701" s="38"/>
      <c r="D701" s="38"/>
    </row>
    <row r="702" spans="3:4" x14ac:dyDescent="0.25">
      <c r="C702" s="38"/>
      <c r="D702" s="38"/>
    </row>
    <row r="703" spans="3:4" x14ac:dyDescent="0.25">
      <c r="C703" s="38"/>
      <c r="D703" s="38"/>
    </row>
    <row r="704" spans="3:4" x14ac:dyDescent="0.25">
      <c r="C704" s="38"/>
      <c r="D704" s="38"/>
    </row>
    <row r="705" spans="3:4" x14ac:dyDescent="0.25">
      <c r="C705" s="38"/>
      <c r="D705" s="38"/>
    </row>
    <row r="706" spans="3:4" x14ac:dyDescent="0.25">
      <c r="C706" s="38"/>
      <c r="D706" s="38"/>
    </row>
    <row r="707" spans="3:4" x14ac:dyDescent="0.25">
      <c r="C707" s="38"/>
      <c r="D707" s="38"/>
    </row>
    <row r="708" spans="3:4" x14ac:dyDescent="0.25">
      <c r="C708" s="38"/>
      <c r="D708" s="38"/>
    </row>
    <row r="709" spans="3:4" x14ac:dyDescent="0.25">
      <c r="C709" s="38"/>
      <c r="D709" s="38"/>
    </row>
    <row r="710" spans="3:4" x14ac:dyDescent="0.25">
      <c r="C710" s="38"/>
      <c r="D710" s="38"/>
    </row>
    <row r="711" spans="3:4" x14ac:dyDescent="0.25">
      <c r="C711" s="38"/>
      <c r="D711" s="38"/>
    </row>
    <row r="712" spans="3:4" x14ac:dyDescent="0.25">
      <c r="C712" s="38"/>
      <c r="D712" s="38"/>
    </row>
    <row r="713" spans="3:4" x14ac:dyDescent="0.25">
      <c r="C713" s="38"/>
      <c r="D713" s="38"/>
    </row>
    <row r="714" spans="3:4" x14ac:dyDescent="0.25">
      <c r="C714" s="38"/>
      <c r="D714" s="38"/>
    </row>
    <row r="715" spans="3:4" x14ac:dyDescent="0.25">
      <c r="C715" s="38"/>
      <c r="D715" s="38"/>
    </row>
    <row r="716" spans="3:4" x14ac:dyDescent="0.25">
      <c r="C716" s="38"/>
      <c r="D716" s="38"/>
    </row>
    <row r="717" spans="3:4" x14ac:dyDescent="0.25">
      <c r="C717" s="38"/>
      <c r="D717" s="38"/>
    </row>
    <row r="718" spans="3:4" x14ac:dyDescent="0.25">
      <c r="C718" s="38"/>
      <c r="D718" s="38"/>
    </row>
    <row r="719" spans="3:4" x14ac:dyDescent="0.25">
      <c r="C719" s="38"/>
      <c r="D719" s="38"/>
    </row>
    <row r="720" spans="3:4" x14ac:dyDescent="0.25">
      <c r="C720" s="38"/>
      <c r="D720" s="38"/>
    </row>
    <row r="721" spans="3:4" x14ac:dyDescent="0.25">
      <c r="C721" s="38"/>
      <c r="D721" s="38"/>
    </row>
    <row r="722" spans="3:4" x14ac:dyDescent="0.25">
      <c r="C722" s="38"/>
      <c r="D722" s="38"/>
    </row>
    <row r="723" spans="3:4" x14ac:dyDescent="0.25">
      <c r="C723" s="38"/>
      <c r="D723" s="38"/>
    </row>
    <row r="724" spans="3:4" x14ac:dyDescent="0.25">
      <c r="C724" s="38"/>
      <c r="D724" s="38"/>
    </row>
    <row r="725" spans="3:4" x14ac:dyDescent="0.25">
      <c r="C725" s="38"/>
      <c r="D725" s="38"/>
    </row>
    <row r="726" spans="3:4" x14ac:dyDescent="0.25">
      <c r="C726" s="38"/>
      <c r="D726" s="38"/>
    </row>
    <row r="727" spans="3:4" x14ac:dyDescent="0.25">
      <c r="C727" s="38"/>
      <c r="D727" s="38"/>
    </row>
    <row r="728" spans="3:4" x14ac:dyDescent="0.25">
      <c r="C728" s="38"/>
      <c r="D728" s="38"/>
    </row>
    <row r="729" spans="3:4" x14ac:dyDescent="0.25">
      <c r="C729" s="38"/>
      <c r="D729" s="38"/>
    </row>
    <row r="730" spans="3:4" x14ac:dyDescent="0.25">
      <c r="C730" s="38"/>
      <c r="D730" s="38"/>
    </row>
    <row r="731" spans="3:4" x14ac:dyDescent="0.25">
      <c r="C731" s="38"/>
      <c r="D731" s="38"/>
    </row>
    <row r="732" spans="3:4" x14ac:dyDescent="0.25">
      <c r="C732" s="38"/>
      <c r="D732" s="38"/>
    </row>
    <row r="733" spans="3:4" x14ac:dyDescent="0.25">
      <c r="C733" s="38"/>
      <c r="D733" s="38"/>
    </row>
    <row r="734" spans="3:4" x14ac:dyDescent="0.25">
      <c r="C734" s="38"/>
      <c r="D734" s="38"/>
    </row>
    <row r="735" spans="3:4" x14ac:dyDescent="0.25">
      <c r="C735" s="38"/>
      <c r="D735" s="38"/>
    </row>
    <row r="736" spans="3:4" x14ac:dyDescent="0.25">
      <c r="C736" s="38"/>
      <c r="D736" s="38"/>
    </row>
    <row r="737" spans="3:4" x14ac:dyDescent="0.25">
      <c r="C737" s="38"/>
      <c r="D737" s="38"/>
    </row>
    <row r="738" spans="3:4" x14ac:dyDescent="0.25">
      <c r="C738" s="38"/>
      <c r="D738" s="38"/>
    </row>
    <row r="739" spans="3:4" x14ac:dyDescent="0.25">
      <c r="C739" s="38"/>
      <c r="D739" s="38"/>
    </row>
    <row r="740" spans="3:4" x14ac:dyDescent="0.25">
      <c r="C740" s="38"/>
      <c r="D740" s="38"/>
    </row>
    <row r="741" spans="3:4" x14ac:dyDescent="0.25">
      <c r="C741" s="38"/>
      <c r="D741" s="38"/>
    </row>
    <row r="742" spans="3:4" x14ac:dyDescent="0.25">
      <c r="C742" s="38"/>
      <c r="D742" s="38"/>
    </row>
    <row r="743" spans="3:4" x14ac:dyDescent="0.25">
      <c r="C743" s="38"/>
      <c r="D743" s="38"/>
    </row>
    <row r="744" spans="3:4" x14ac:dyDescent="0.25">
      <c r="C744" s="38"/>
      <c r="D744" s="38"/>
    </row>
    <row r="745" spans="3:4" x14ac:dyDescent="0.25">
      <c r="C745" s="38"/>
      <c r="D745" s="38"/>
    </row>
    <row r="746" spans="3:4" x14ac:dyDescent="0.25">
      <c r="C746" s="38"/>
      <c r="D746" s="38"/>
    </row>
    <row r="747" spans="3:4" x14ac:dyDescent="0.25">
      <c r="C747" s="38"/>
      <c r="D747" s="38"/>
    </row>
    <row r="748" spans="3:4" x14ac:dyDescent="0.25">
      <c r="C748" s="38"/>
      <c r="D748" s="38"/>
    </row>
    <row r="749" spans="3:4" x14ac:dyDescent="0.25">
      <c r="C749" s="38"/>
      <c r="D749" s="38"/>
    </row>
    <row r="750" spans="3:4" x14ac:dyDescent="0.25">
      <c r="C750" s="38"/>
      <c r="D750" s="38"/>
    </row>
    <row r="751" spans="3:4" x14ac:dyDescent="0.25">
      <c r="C751" s="38"/>
      <c r="D751" s="38"/>
    </row>
    <row r="752" spans="3:4" x14ac:dyDescent="0.25">
      <c r="C752" s="38"/>
      <c r="D752" s="38"/>
    </row>
    <row r="753" spans="3:4" x14ac:dyDescent="0.25">
      <c r="C753" s="38"/>
      <c r="D753" s="38"/>
    </row>
    <row r="754" spans="3:4" x14ac:dyDescent="0.25">
      <c r="C754" s="38"/>
      <c r="D754" s="38"/>
    </row>
    <row r="755" spans="3:4" x14ac:dyDescent="0.25">
      <c r="C755" s="38"/>
      <c r="D755" s="38"/>
    </row>
    <row r="756" spans="3:4" x14ac:dyDescent="0.25">
      <c r="C756" s="38"/>
      <c r="D756" s="38"/>
    </row>
    <row r="757" spans="3:4" x14ac:dyDescent="0.25">
      <c r="C757" s="38"/>
      <c r="D757" s="38"/>
    </row>
    <row r="758" spans="3:4" x14ac:dyDescent="0.25">
      <c r="C758" s="38"/>
      <c r="D758" s="38"/>
    </row>
    <row r="759" spans="3:4" x14ac:dyDescent="0.25">
      <c r="C759" s="38"/>
      <c r="D759" s="38"/>
    </row>
    <row r="760" spans="3:4" x14ac:dyDescent="0.25">
      <c r="C760" s="38"/>
      <c r="D760" s="38"/>
    </row>
    <row r="761" spans="3:4" x14ac:dyDescent="0.25">
      <c r="C761" s="38"/>
      <c r="D761" s="38"/>
    </row>
    <row r="762" spans="3:4" x14ac:dyDescent="0.25">
      <c r="C762" s="38"/>
      <c r="D762" s="38"/>
    </row>
    <row r="763" spans="3:4" x14ac:dyDescent="0.25">
      <c r="C763" s="38"/>
      <c r="D763" s="38"/>
    </row>
    <row r="764" spans="3:4" x14ac:dyDescent="0.25">
      <c r="C764" s="38"/>
      <c r="D764" s="38"/>
    </row>
    <row r="765" spans="3:4" x14ac:dyDescent="0.25">
      <c r="C765" s="38"/>
      <c r="D765" s="38"/>
    </row>
    <row r="766" spans="3:4" x14ac:dyDescent="0.25">
      <c r="C766" s="38"/>
      <c r="D766" s="38"/>
    </row>
    <row r="767" spans="3:4" x14ac:dyDescent="0.25">
      <c r="C767" s="38"/>
      <c r="D767" s="38"/>
    </row>
    <row r="768" spans="3:4" x14ac:dyDescent="0.25">
      <c r="C768" s="38"/>
      <c r="D768" s="38"/>
    </row>
    <row r="769" spans="3:4" x14ac:dyDescent="0.25">
      <c r="C769" s="38"/>
      <c r="D769" s="38"/>
    </row>
    <row r="770" spans="3:4" x14ac:dyDescent="0.25">
      <c r="C770" s="38"/>
      <c r="D770" s="38"/>
    </row>
    <row r="771" spans="3:4" x14ac:dyDescent="0.25">
      <c r="C771" s="38"/>
      <c r="D771" s="38"/>
    </row>
    <row r="772" spans="3:4" x14ac:dyDescent="0.25">
      <c r="C772" s="38"/>
      <c r="D772" s="38"/>
    </row>
    <row r="773" spans="3:4" x14ac:dyDescent="0.25">
      <c r="C773" s="38"/>
      <c r="D773" s="38"/>
    </row>
    <row r="774" spans="3:4" x14ac:dyDescent="0.25">
      <c r="C774" s="38"/>
      <c r="D774" s="38"/>
    </row>
    <row r="775" spans="3:4" x14ac:dyDescent="0.25">
      <c r="C775" s="38"/>
      <c r="D775" s="38"/>
    </row>
    <row r="776" spans="3:4" x14ac:dyDescent="0.25">
      <c r="C776" s="38"/>
      <c r="D776" s="38"/>
    </row>
    <row r="777" spans="3:4" x14ac:dyDescent="0.25">
      <c r="C777" s="38"/>
      <c r="D777" s="38"/>
    </row>
    <row r="778" spans="3:4" x14ac:dyDescent="0.25">
      <c r="C778" s="38"/>
      <c r="D778" s="38"/>
    </row>
    <row r="779" spans="3:4" x14ac:dyDescent="0.25">
      <c r="C779" s="38"/>
      <c r="D779" s="38"/>
    </row>
    <row r="780" spans="3:4" x14ac:dyDescent="0.25">
      <c r="C780" s="38"/>
      <c r="D780" s="38"/>
    </row>
    <row r="781" spans="3:4" x14ac:dyDescent="0.25">
      <c r="C781" s="38"/>
      <c r="D781" s="38"/>
    </row>
    <row r="782" spans="3:4" x14ac:dyDescent="0.25">
      <c r="C782" s="38"/>
      <c r="D782" s="38"/>
    </row>
    <row r="783" spans="3:4" x14ac:dyDescent="0.25">
      <c r="C783" s="38"/>
      <c r="D783" s="38"/>
    </row>
    <row r="784" spans="3:4" x14ac:dyDescent="0.25">
      <c r="C784" s="38"/>
      <c r="D784" s="38"/>
    </row>
    <row r="785" spans="3:4" x14ac:dyDescent="0.25">
      <c r="C785" s="38"/>
      <c r="D785" s="38"/>
    </row>
    <row r="786" spans="3:4" x14ac:dyDescent="0.25">
      <c r="C786" s="38"/>
      <c r="D786" s="38"/>
    </row>
    <row r="787" spans="3:4" x14ac:dyDescent="0.25">
      <c r="C787" s="38"/>
      <c r="D787" s="38"/>
    </row>
    <row r="788" spans="3:4" x14ac:dyDescent="0.25">
      <c r="C788" s="38"/>
      <c r="D788" s="38"/>
    </row>
    <row r="789" spans="3:4" x14ac:dyDescent="0.25">
      <c r="C789" s="38"/>
      <c r="D789" s="38"/>
    </row>
    <row r="790" spans="3:4" x14ac:dyDescent="0.25">
      <c r="C790" s="38"/>
      <c r="D790" s="38"/>
    </row>
    <row r="791" spans="3:4" x14ac:dyDescent="0.25">
      <c r="C791" s="38"/>
      <c r="D791" s="38"/>
    </row>
    <row r="792" spans="3:4" x14ac:dyDescent="0.25">
      <c r="C792" s="38"/>
      <c r="D792" s="38"/>
    </row>
    <row r="793" spans="3:4" x14ac:dyDescent="0.25">
      <c r="C793" s="38"/>
      <c r="D793" s="38"/>
    </row>
    <row r="794" spans="3:4" x14ac:dyDescent="0.25">
      <c r="C794" s="38"/>
      <c r="D794" s="38"/>
    </row>
    <row r="795" spans="3:4" x14ac:dyDescent="0.25">
      <c r="C795" s="38"/>
      <c r="D795" s="38"/>
    </row>
    <row r="796" spans="3:4" x14ac:dyDescent="0.25">
      <c r="C796" s="38"/>
      <c r="D796" s="38"/>
    </row>
    <row r="797" spans="3:4" x14ac:dyDescent="0.25">
      <c r="C797" s="38"/>
      <c r="D797" s="38"/>
    </row>
    <row r="798" spans="3:4" x14ac:dyDescent="0.25">
      <c r="C798" s="38"/>
      <c r="D798" s="38"/>
    </row>
    <row r="799" spans="3:4" x14ac:dyDescent="0.25">
      <c r="C799" s="38"/>
      <c r="D799" s="38"/>
    </row>
    <row r="800" spans="3:4" x14ac:dyDescent="0.25">
      <c r="C800" s="38"/>
      <c r="D800" s="38"/>
    </row>
    <row r="801" spans="3:4" x14ac:dyDescent="0.25">
      <c r="C801" s="38"/>
      <c r="D801" s="38"/>
    </row>
    <row r="802" spans="3:4" x14ac:dyDescent="0.25">
      <c r="C802" s="38"/>
      <c r="D802" s="38"/>
    </row>
    <row r="803" spans="3:4" x14ac:dyDescent="0.25">
      <c r="C803" s="38"/>
      <c r="D803" s="38"/>
    </row>
    <row r="804" spans="3:4" x14ac:dyDescent="0.25">
      <c r="C804" s="38"/>
      <c r="D804" s="38"/>
    </row>
    <row r="805" spans="3:4" x14ac:dyDescent="0.25">
      <c r="C805" s="38"/>
      <c r="D805" s="38"/>
    </row>
    <row r="806" spans="3:4" x14ac:dyDescent="0.25">
      <c r="C806" s="38"/>
      <c r="D806" s="38"/>
    </row>
    <row r="807" spans="3:4" x14ac:dyDescent="0.25">
      <c r="C807" s="38"/>
      <c r="D807" s="38"/>
    </row>
    <row r="808" spans="3:4" x14ac:dyDescent="0.25">
      <c r="C808" s="38"/>
      <c r="D808" s="38"/>
    </row>
    <row r="809" spans="3:4" x14ac:dyDescent="0.25">
      <c r="C809" s="38"/>
      <c r="D809" s="38"/>
    </row>
    <row r="810" spans="3:4" x14ac:dyDescent="0.25">
      <c r="C810" s="38"/>
      <c r="D810" s="38"/>
    </row>
    <row r="811" spans="3:4" x14ac:dyDescent="0.25">
      <c r="C811" s="38"/>
      <c r="D811" s="38"/>
    </row>
    <row r="812" spans="3:4" x14ac:dyDescent="0.25">
      <c r="C812" s="38"/>
      <c r="D812" s="38"/>
    </row>
    <row r="813" spans="3:4" x14ac:dyDescent="0.25">
      <c r="C813" s="38"/>
      <c r="D813" s="38"/>
    </row>
    <row r="814" spans="3:4" x14ac:dyDescent="0.25">
      <c r="C814" s="38"/>
      <c r="D814" s="38"/>
    </row>
    <row r="815" spans="3:4" x14ac:dyDescent="0.25">
      <c r="C815" s="38"/>
      <c r="D815" s="38"/>
    </row>
    <row r="816" spans="3:4" x14ac:dyDescent="0.25">
      <c r="C816" s="38"/>
      <c r="D816" s="38"/>
    </row>
    <row r="817" spans="3:4" x14ac:dyDescent="0.25">
      <c r="C817" s="38"/>
      <c r="D817" s="38"/>
    </row>
    <row r="818" spans="3:4" x14ac:dyDescent="0.25">
      <c r="C818" s="38"/>
      <c r="D818" s="38"/>
    </row>
    <row r="819" spans="3:4" x14ac:dyDescent="0.25">
      <c r="C819" s="38"/>
      <c r="D819" s="38"/>
    </row>
    <row r="820" spans="3:4" x14ac:dyDescent="0.25">
      <c r="C820" s="38"/>
      <c r="D820" s="38"/>
    </row>
    <row r="821" spans="3:4" x14ac:dyDescent="0.25">
      <c r="C821" s="38"/>
      <c r="D821" s="38"/>
    </row>
    <row r="822" spans="3:4" x14ac:dyDescent="0.25">
      <c r="C822" s="38"/>
      <c r="D822" s="38"/>
    </row>
    <row r="823" spans="3:4" x14ac:dyDescent="0.25">
      <c r="C823" s="38"/>
      <c r="D823" s="38"/>
    </row>
    <row r="824" spans="3:4" x14ac:dyDescent="0.25">
      <c r="C824" s="38"/>
      <c r="D824" s="38"/>
    </row>
    <row r="825" spans="3:4" x14ac:dyDescent="0.25">
      <c r="C825" s="38"/>
      <c r="D825" s="38"/>
    </row>
    <row r="826" spans="3:4" x14ac:dyDescent="0.25">
      <c r="C826" s="38"/>
      <c r="D826" s="38"/>
    </row>
    <row r="827" spans="3:4" x14ac:dyDescent="0.25">
      <c r="C827" s="38"/>
      <c r="D827" s="38"/>
    </row>
    <row r="828" spans="3:4" x14ac:dyDescent="0.25">
      <c r="C828" s="38"/>
      <c r="D828" s="38"/>
    </row>
    <row r="829" spans="3:4" x14ac:dyDescent="0.25">
      <c r="C829" s="38"/>
      <c r="D829" s="38"/>
    </row>
    <row r="830" spans="3:4" x14ac:dyDescent="0.25">
      <c r="C830" s="38"/>
      <c r="D830" s="38"/>
    </row>
    <row r="831" spans="3:4" x14ac:dyDescent="0.25">
      <c r="C831" s="38"/>
      <c r="D831" s="38"/>
    </row>
    <row r="832" spans="3:4" x14ac:dyDescent="0.25">
      <c r="C832" s="38"/>
      <c r="D832" s="38"/>
    </row>
    <row r="833" spans="3:4" x14ac:dyDescent="0.25">
      <c r="C833" s="38"/>
      <c r="D833" s="38"/>
    </row>
    <row r="834" spans="3:4" x14ac:dyDescent="0.25">
      <c r="C834" s="38"/>
      <c r="D834" s="38"/>
    </row>
    <row r="835" spans="3:4" x14ac:dyDescent="0.25">
      <c r="C835" s="38"/>
      <c r="D835" s="38"/>
    </row>
    <row r="836" spans="3:4" x14ac:dyDescent="0.25">
      <c r="C836" s="38"/>
      <c r="D836" s="38"/>
    </row>
    <row r="837" spans="3:4" x14ac:dyDescent="0.25">
      <c r="C837" s="38"/>
      <c r="D837" s="38"/>
    </row>
    <row r="838" spans="3:4" x14ac:dyDescent="0.25">
      <c r="C838" s="38"/>
      <c r="D838" s="38"/>
    </row>
    <row r="839" spans="3:4" x14ac:dyDescent="0.25">
      <c r="C839" s="38"/>
      <c r="D839" s="38"/>
    </row>
    <row r="840" spans="3:4" x14ac:dyDescent="0.25">
      <c r="C840" s="38"/>
      <c r="D840" s="38"/>
    </row>
    <row r="841" spans="3:4" x14ac:dyDescent="0.25">
      <c r="C841" s="38"/>
      <c r="D841" s="38"/>
    </row>
    <row r="842" spans="3:4" x14ac:dyDescent="0.25">
      <c r="C842" s="38"/>
      <c r="D842" s="38"/>
    </row>
    <row r="843" spans="3:4" x14ac:dyDescent="0.25">
      <c r="C843" s="38"/>
      <c r="D843" s="38"/>
    </row>
    <row r="844" spans="3:4" x14ac:dyDescent="0.25">
      <c r="C844" s="38"/>
      <c r="D844" s="38"/>
    </row>
    <row r="845" spans="3:4" x14ac:dyDescent="0.25">
      <c r="C845" s="38"/>
      <c r="D845" s="38"/>
    </row>
    <row r="846" spans="3:4" x14ac:dyDescent="0.25">
      <c r="C846" s="38"/>
      <c r="D846" s="38"/>
    </row>
    <row r="847" spans="3:4" x14ac:dyDescent="0.25">
      <c r="C847" s="38"/>
      <c r="D847" s="38"/>
    </row>
    <row r="848" spans="3:4" x14ac:dyDescent="0.25">
      <c r="C848" s="38"/>
      <c r="D848" s="38"/>
    </row>
    <row r="849" spans="3:4" x14ac:dyDescent="0.25">
      <c r="C849" s="38"/>
      <c r="D849" s="38"/>
    </row>
    <row r="850" spans="3:4" x14ac:dyDescent="0.25">
      <c r="C850" s="38"/>
      <c r="D850" s="38"/>
    </row>
    <row r="851" spans="3:4" x14ac:dyDescent="0.25">
      <c r="C851" s="38"/>
      <c r="D851" s="38"/>
    </row>
    <row r="852" spans="3:4" x14ac:dyDescent="0.25">
      <c r="C852" s="38"/>
      <c r="D852" s="38"/>
    </row>
    <row r="853" spans="3:4" x14ac:dyDescent="0.25">
      <c r="C853" s="38"/>
      <c r="D853" s="38"/>
    </row>
    <row r="854" spans="3:4" x14ac:dyDescent="0.25">
      <c r="C854" s="38"/>
      <c r="D854" s="38"/>
    </row>
    <row r="855" spans="3:4" x14ac:dyDescent="0.25">
      <c r="C855" s="38"/>
      <c r="D855" s="38"/>
    </row>
    <row r="856" spans="3:4" x14ac:dyDescent="0.25">
      <c r="C856" s="38"/>
      <c r="D856" s="38"/>
    </row>
    <row r="857" spans="3:4" x14ac:dyDescent="0.25">
      <c r="C857" s="38"/>
      <c r="D857" s="38"/>
    </row>
    <row r="858" spans="3:4" x14ac:dyDescent="0.25">
      <c r="C858" s="38"/>
      <c r="D858" s="38"/>
    </row>
    <row r="859" spans="3:4" x14ac:dyDescent="0.25">
      <c r="C859" s="38"/>
      <c r="D859" s="38"/>
    </row>
    <row r="860" spans="3:4" x14ac:dyDescent="0.25">
      <c r="C860" s="38"/>
      <c r="D860" s="38"/>
    </row>
    <row r="861" spans="3:4" x14ac:dyDescent="0.25">
      <c r="C861" s="38"/>
      <c r="D861" s="38"/>
    </row>
    <row r="862" spans="3:4" x14ac:dyDescent="0.25">
      <c r="C862" s="38"/>
      <c r="D862" s="38"/>
    </row>
    <row r="863" spans="3:4" x14ac:dyDescent="0.25">
      <c r="C863" s="38"/>
      <c r="D863" s="38"/>
    </row>
    <row r="864" spans="3:4" x14ac:dyDescent="0.25">
      <c r="C864" s="38"/>
      <c r="D864" s="38"/>
    </row>
    <row r="865" spans="3:4" x14ac:dyDescent="0.25">
      <c r="C865" s="38"/>
      <c r="D865" s="38"/>
    </row>
    <row r="866" spans="3:4" x14ac:dyDescent="0.25">
      <c r="C866" s="38"/>
      <c r="D866" s="38"/>
    </row>
    <row r="867" spans="3:4" x14ac:dyDescent="0.25">
      <c r="C867" s="38"/>
      <c r="D867" s="38"/>
    </row>
    <row r="868" spans="3:4" x14ac:dyDescent="0.25">
      <c r="C868" s="38"/>
      <c r="D868" s="38"/>
    </row>
    <row r="869" spans="3:4" x14ac:dyDescent="0.25">
      <c r="C869" s="38"/>
      <c r="D869" s="38"/>
    </row>
    <row r="870" spans="3:4" x14ac:dyDescent="0.25">
      <c r="C870" s="38"/>
      <c r="D870" s="38"/>
    </row>
    <row r="871" spans="3:4" x14ac:dyDescent="0.25">
      <c r="C871" s="38"/>
      <c r="D871" s="38"/>
    </row>
    <row r="872" spans="3:4" x14ac:dyDescent="0.25">
      <c r="C872" s="38"/>
      <c r="D872" s="38"/>
    </row>
    <row r="873" spans="3:4" x14ac:dyDescent="0.25">
      <c r="C873" s="38"/>
      <c r="D873" s="38"/>
    </row>
    <row r="874" spans="3:4" x14ac:dyDescent="0.25">
      <c r="C874" s="38"/>
      <c r="D874" s="38"/>
    </row>
    <row r="875" spans="3:4" x14ac:dyDescent="0.25">
      <c r="C875" s="38"/>
      <c r="D875" s="38"/>
    </row>
    <row r="876" spans="3:4" x14ac:dyDescent="0.25">
      <c r="C876" s="38"/>
      <c r="D876" s="38"/>
    </row>
    <row r="877" spans="3:4" x14ac:dyDescent="0.25">
      <c r="C877" s="38"/>
      <c r="D877" s="38"/>
    </row>
    <row r="878" spans="3:4" x14ac:dyDescent="0.25">
      <c r="C878" s="38"/>
      <c r="D878" s="38"/>
    </row>
    <row r="879" spans="3:4" x14ac:dyDescent="0.25">
      <c r="C879" s="38"/>
      <c r="D879" s="38"/>
    </row>
    <row r="880" spans="3:4" x14ac:dyDescent="0.25">
      <c r="C880" s="38"/>
      <c r="D880" s="38"/>
    </row>
    <row r="881" spans="3:4" x14ac:dyDescent="0.25">
      <c r="C881" s="38"/>
      <c r="D881" s="38"/>
    </row>
    <row r="882" spans="3:4" x14ac:dyDescent="0.25">
      <c r="C882" s="38"/>
      <c r="D882" s="38"/>
    </row>
    <row r="883" spans="3:4" x14ac:dyDescent="0.25">
      <c r="C883" s="38"/>
      <c r="D883" s="38"/>
    </row>
    <row r="884" spans="3:4" x14ac:dyDescent="0.25">
      <c r="C884" s="38"/>
      <c r="D884" s="38"/>
    </row>
    <row r="885" spans="3:4" x14ac:dyDescent="0.25">
      <c r="C885" s="38"/>
      <c r="D885" s="38"/>
    </row>
    <row r="886" spans="3:4" x14ac:dyDescent="0.25">
      <c r="C886" s="38"/>
      <c r="D886" s="38"/>
    </row>
    <row r="887" spans="3:4" x14ac:dyDescent="0.25">
      <c r="C887" s="38"/>
      <c r="D887" s="38"/>
    </row>
    <row r="888" spans="3:4" x14ac:dyDescent="0.25">
      <c r="C888" s="38"/>
      <c r="D888" s="38"/>
    </row>
    <row r="889" spans="3:4" x14ac:dyDescent="0.25">
      <c r="C889" s="38"/>
      <c r="D889" s="38"/>
    </row>
    <row r="890" spans="3:4" x14ac:dyDescent="0.25">
      <c r="C890" s="38"/>
      <c r="D890" s="38"/>
    </row>
    <row r="891" spans="3:4" x14ac:dyDescent="0.25">
      <c r="C891" s="38"/>
      <c r="D891" s="38"/>
    </row>
    <row r="892" spans="3:4" x14ac:dyDescent="0.25">
      <c r="C892" s="38"/>
      <c r="D892" s="38"/>
    </row>
    <row r="893" spans="3:4" x14ac:dyDescent="0.25">
      <c r="C893" s="38"/>
      <c r="D893" s="38"/>
    </row>
    <row r="894" spans="3:4" x14ac:dyDescent="0.25">
      <c r="C894" s="38"/>
      <c r="D894" s="38"/>
    </row>
    <row r="895" spans="3:4" x14ac:dyDescent="0.25">
      <c r="C895" s="38"/>
      <c r="D895" s="38"/>
    </row>
    <row r="896" spans="3:4" x14ac:dyDescent="0.25">
      <c r="C896" s="38"/>
      <c r="D896" s="38"/>
    </row>
    <row r="897" spans="3:4" x14ac:dyDescent="0.25">
      <c r="C897" s="38"/>
      <c r="D897" s="38"/>
    </row>
    <row r="898" spans="3:4" x14ac:dyDescent="0.25">
      <c r="C898" s="38"/>
      <c r="D898" s="38"/>
    </row>
    <row r="899" spans="3:4" x14ac:dyDescent="0.25">
      <c r="C899" s="38"/>
      <c r="D899" s="38"/>
    </row>
    <row r="900" spans="3:4" x14ac:dyDescent="0.25">
      <c r="C900" s="38"/>
      <c r="D900" s="38"/>
    </row>
    <row r="901" spans="3:4" x14ac:dyDescent="0.25">
      <c r="C901" s="38"/>
      <c r="D901" s="38"/>
    </row>
    <row r="902" spans="3:4" x14ac:dyDescent="0.25">
      <c r="C902" s="38"/>
      <c r="D902" s="38"/>
    </row>
    <row r="903" spans="3:4" x14ac:dyDescent="0.25">
      <c r="C903" s="38"/>
      <c r="D903" s="38"/>
    </row>
    <row r="904" spans="3:4" x14ac:dyDescent="0.25">
      <c r="C904" s="38"/>
      <c r="D904" s="38"/>
    </row>
    <row r="905" spans="3:4" x14ac:dyDescent="0.25">
      <c r="C905" s="38"/>
      <c r="D905" s="38"/>
    </row>
    <row r="906" spans="3:4" x14ac:dyDescent="0.25">
      <c r="C906" s="38"/>
      <c r="D906" s="38"/>
    </row>
    <row r="907" spans="3:4" x14ac:dyDescent="0.25">
      <c r="C907" s="38"/>
      <c r="D907" s="38"/>
    </row>
    <row r="908" spans="3:4" x14ac:dyDescent="0.25">
      <c r="C908" s="38"/>
      <c r="D908" s="38"/>
    </row>
    <row r="909" spans="3:4" x14ac:dyDescent="0.25">
      <c r="C909" s="38"/>
      <c r="D909" s="38"/>
    </row>
    <row r="910" spans="3:4" x14ac:dyDescent="0.25">
      <c r="C910" s="38"/>
      <c r="D910" s="38"/>
    </row>
    <row r="911" spans="3:4" x14ac:dyDescent="0.25">
      <c r="C911" s="38"/>
      <c r="D911" s="38"/>
    </row>
    <row r="912" spans="3:4" x14ac:dyDescent="0.25">
      <c r="C912" s="38"/>
      <c r="D912" s="38"/>
    </row>
    <row r="913" spans="3:4" x14ac:dyDescent="0.25">
      <c r="C913" s="38"/>
      <c r="D913" s="38"/>
    </row>
    <row r="914" spans="3:4" x14ac:dyDescent="0.25">
      <c r="C914" s="38"/>
      <c r="D914" s="38"/>
    </row>
    <row r="915" spans="3:4" x14ac:dyDescent="0.25">
      <c r="C915" s="38"/>
      <c r="D915" s="38"/>
    </row>
    <row r="916" spans="3:4" x14ac:dyDescent="0.25">
      <c r="C916" s="38"/>
      <c r="D916" s="38"/>
    </row>
    <row r="917" spans="3:4" x14ac:dyDescent="0.25">
      <c r="C917" s="38"/>
      <c r="D917" s="38"/>
    </row>
    <row r="918" spans="3:4" x14ac:dyDescent="0.25">
      <c r="C918" s="38"/>
      <c r="D918" s="38"/>
    </row>
    <row r="919" spans="3:4" x14ac:dyDescent="0.25">
      <c r="C919" s="38"/>
      <c r="D919" s="38"/>
    </row>
    <row r="920" spans="3:4" x14ac:dyDescent="0.25">
      <c r="C920" s="38"/>
      <c r="D920" s="38"/>
    </row>
    <row r="921" spans="3:4" x14ac:dyDescent="0.25">
      <c r="C921" s="38"/>
      <c r="D921" s="38"/>
    </row>
    <row r="922" spans="3:4" x14ac:dyDescent="0.25">
      <c r="C922" s="38"/>
      <c r="D922" s="38"/>
    </row>
    <row r="923" spans="3:4" x14ac:dyDescent="0.25">
      <c r="C923" s="38"/>
      <c r="D923" s="38"/>
    </row>
    <row r="924" spans="3:4" x14ac:dyDescent="0.25">
      <c r="C924" s="38"/>
      <c r="D924" s="38"/>
    </row>
    <row r="925" spans="3:4" x14ac:dyDescent="0.25">
      <c r="C925" s="38"/>
      <c r="D925" s="38"/>
    </row>
    <row r="926" spans="3:4" x14ac:dyDescent="0.25">
      <c r="C926" s="38"/>
      <c r="D926" s="38"/>
    </row>
    <row r="927" spans="3:4" x14ac:dyDescent="0.25">
      <c r="C927" s="38"/>
      <c r="D927" s="38"/>
    </row>
    <row r="928" spans="3:4" x14ac:dyDescent="0.25">
      <c r="C928" s="38"/>
      <c r="D928" s="38"/>
    </row>
    <row r="929" spans="3:4" x14ac:dyDescent="0.25">
      <c r="C929" s="38"/>
      <c r="D929" s="38"/>
    </row>
    <row r="930" spans="3:4" x14ac:dyDescent="0.25">
      <c r="C930" s="38"/>
      <c r="D930" s="38"/>
    </row>
    <row r="931" spans="3:4" x14ac:dyDescent="0.25">
      <c r="C931" s="38"/>
      <c r="D931" s="38"/>
    </row>
    <row r="932" spans="3:4" x14ac:dyDescent="0.25">
      <c r="C932" s="38"/>
      <c r="D932" s="38"/>
    </row>
    <row r="933" spans="3:4" x14ac:dyDescent="0.25">
      <c r="C933" s="38"/>
      <c r="D933" s="38"/>
    </row>
    <row r="934" spans="3:4" x14ac:dyDescent="0.25">
      <c r="C934" s="38"/>
      <c r="D934" s="38"/>
    </row>
    <row r="935" spans="3:4" x14ac:dyDescent="0.25">
      <c r="C935" s="38"/>
      <c r="D935" s="38"/>
    </row>
    <row r="936" spans="3:4" x14ac:dyDescent="0.25">
      <c r="C936" s="38"/>
      <c r="D936" s="38"/>
    </row>
    <row r="937" spans="3:4" x14ac:dyDescent="0.25">
      <c r="C937" s="38"/>
      <c r="D937" s="38"/>
    </row>
    <row r="938" spans="3:4" x14ac:dyDescent="0.25">
      <c r="C938" s="38"/>
      <c r="D938" s="38"/>
    </row>
    <row r="939" spans="3:4" x14ac:dyDescent="0.25">
      <c r="C939" s="38"/>
      <c r="D939" s="38"/>
    </row>
    <row r="940" spans="3:4" x14ac:dyDescent="0.25">
      <c r="C940" s="38"/>
      <c r="D940" s="38"/>
    </row>
    <row r="941" spans="3:4" x14ac:dyDescent="0.25">
      <c r="C941" s="38"/>
      <c r="D941" s="38"/>
    </row>
    <row r="942" spans="3:4" x14ac:dyDescent="0.25">
      <c r="C942" s="38"/>
      <c r="D942" s="38"/>
    </row>
    <row r="943" spans="3:4" x14ac:dyDescent="0.25">
      <c r="C943" s="38"/>
      <c r="D943" s="38"/>
    </row>
    <row r="944" spans="3:4" x14ac:dyDescent="0.25">
      <c r="C944" s="38"/>
      <c r="D944" s="38"/>
    </row>
    <row r="945" spans="3:4" x14ac:dyDescent="0.25">
      <c r="C945" s="38"/>
      <c r="D945" s="38"/>
    </row>
    <row r="946" spans="3:4" x14ac:dyDescent="0.25">
      <c r="C946" s="38"/>
      <c r="D946" s="38"/>
    </row>
    <row r="947" spans="3:4" x14ac:dyDescent="0.25">
      <c r="C947" s="38"/>
      <c r="D947" s="38"/>
    </row>
    <row r="948" spans="3:4" x14ac:dyDescent="0.25">
      <c r="C948" s="38"/>
      <c r="D948" s="38"/>
    </row>
    <row r="949" spans="3:4" x14ac:dyDescent="0.25">
      <c r="C949" s="38"/>
      <c r="D949" s="38"/>
    </row>
    <row r="950" spans="3:4" x14ac:dyDescent="0.25">
      <c r="C950" s="38"/>
      <c r="D950" s="38"/>
    </row>
    <row r="951" spans="3:4" x14ac:dyDescent="0.25">
      <c r="C951" s="38"/>
      <c r="D951" s="38"/>
    </row>
    <row r="952" spans="3:4" x14ac:dyDescent="0.25">
      <c r="C952" s="38"/>
      <c r="D952" s="38"/>
    </row>
    <row r="953" spans="3:4" x14ac:dyDescent="0.25">
      <c r="C953" s="38"/>
      <c r="D953" s="38"/>
    </row>
    <row r="954" spans="3:4" x14ac:dyDescent="0.25">
      <c r="C954" s="38"/>
      <c r="D954" s="38"/>
    </row>
    <row r="955" spans="3:4" x14ac:dyDescent="0.25">
      <c r="C955" s="38"/>
      <c r="D955" s="38"/>
    </row>
    <row r="956" spans="3:4" x14ac:dyDescent="0.25">
      <c r="C956" s="38"/>
      <c r="D956" s="38"/>
    </row>
    <row r="957" spans="3:4" x14ac:dyDescent="0.25">
      <c r="C957" s="38"/>
      <c r="D957" s="38"/>
    </row>
    <row r="958" spans="3:4" x14ac:dyDescent="0.25">
      <c r="C958" s="38"/>
      <c r="D958" s="38"/>
    </row>
    <row r="959" spans="3:4" x14ac:dyDescent="0.25">
      <c r="C959" s="38"/>
      <c r="D959" s="38"/>
    </row>
    <row r="960" spans="3:4" x14ac:dyDescent="0.25">
      <c r="C960" s="38"/>
      <c r="D960" s="38"/>
    </row>
    <row r="961" spans="3:4" x14ac:dyDescent="0.25">
      <c r="C961" s="38"/>
      <c r="D961" s="38"/>
    </row>
    <row r="962" spans="3:4" x14ac:dyDescent="0.25">
      <c r="C962" s="38"/>
      <c r="D962" s="38"/>
    </row>
    <row r="963" spans="3:4" x14ac:dyDescent="0.25">
      <c r="C963" s="38"/>
      <c r="D963" s="38"/>
    </row>
    <row r="964" spans="3:4" x14ac:dyDescent="0.25">
      <c r="C964" s="38"/>
      <c r="D964" s="38"/>
    </row>
    <row r="965" spans="3:4" x14ac:dyDescent="0.25">
      <c r="C965" s="38"/>
      <c r="D965" s="38"/>
    </row>
    <row r="966" spans="3:4" x14ac:dyDescent="0.25">
      <c r="C966" s="38"/>
      <c r="D966" s="38"/>
    </row>
    <row r="967" spans="3:4" x14ac:dyDescent="0.25">
      <c r="C967" s="38"/>
      <c r="D967" s="38"/>
    </row>
    <row r="968" spans="3:4" x14ac:dyDescent="0.25">
      <c r="C968" s="38"/>
      <c r="D968" s="38"/>
    </row>
    <row r="969" spans="3:4" x14ac:dyDescent="0.25">
      <c r="C969" s="38"/>
      <c r="D969" s="38"/>
    </row>
    <row r="970" spans="3:4" x14ac:dyDescent="0.25">
      <c r="C970" s="38"/>
      <c r="D970" s="38"/>
    </row>
    <row r="971" spans="3:4" x14ac:dyDescent="0.25">
      <c r="C971" s="38"/>
      <c r="D971" s="38"/>
    </row>
    <row r="972" spans="3:4" x14ac:dyDescent="0.25">
      <c r="C972" s="38"/>
      <c r="D972" s="38"/>
    </row>
    <row r="973" spans="3:4" x14ac:dyDescent="0.25">
      <c r="C973" s="38"/>
      <c r="D973" s="38"/>
    </row>
    <row r="974" spans="3:4" x14ac:dyDescent="0.25">
      <c r="C974" s="38"/>
      <c r="D974" s="38"/>
    </row>
    <row r="975" spans="3:4" x14ac:dyDescent="0.25">
      <c r="C975" s="38"/>
      <c r="D975" s="38"/>
    </row>
    <row r="976" spans="3:4" x14ac:dyDescent="0.25">
      <c r="C976" s="38"/>
      <c r="D976" s="38"/>
    </row>
    <row r="977" spans="3:4" x14ac:dyDescent="0.25">
      <c r="C977" s="38"/>
      <c r="D977" s="38"/>
    </row>
    <row r="978" spans="3:4" x14ac:dyDescent="0.25">
      <c r="C978" s="38"/>
      <c r="D978" s="38"/>
    </row>
    <row r="979" spans="3:4" x14ac:dyDescent="0.25">
      <c r="C979" s="38"/>
      <c r="D979" s="38"/>
    </row>
    <row r="980" spans="3:4" x14ac:dyDescent="0.25">
      <c r="C980" s="38"/>
      <c r="D980" s="38"/>
    </row>
    <row r="981" spans="3:4" x14ac:dyDescent="0.25">
      <c r="C981" s="38"/>
      <c r="D981" s="38"/>
    </row>
    <row r="982" spans="3:4" x14ac:dyDescent="0.25">
      <c r="C982" s="38"/>
      <c r="D982" s="38"/>
    </row>
    <row r="983" spans="3:4" x14ac:dyDescent="0.25">
      <c r="C983" s="38"/>
      <c r="D983" s="38"/>
    </row>
    <row r="984" spans="3:4" x14ac:dyDescent="0.25">
      <c r="C984" s="38"/>
      <c r="D984" s="38"/>
    </row>
    <row r="985" spans="3:4" x14ac:dyDescent="0.25">
      <c r="C985" s="38"/>
      <c r="D985" s="38"/>
    </row>
    <row r="986" spans="3:4" x14ac:dyDescent="0.25">
      <c r="C986" s="38"/>
      <c r="D986" s="38"/>
    </row>
    <row r="987" spans="3:4" x14ac:dyDescent="0.25">
      <c r="C987" s="38"/>
      <c r="D987" s="38"/>
    </row>
    <row r="988" spans="3:4" x14ac:dyDescent="0.25">
      <c r="C988" s="38"/>
      <c r="D988" s="38"/>
    </row>
    <row r="989" spans="3:4" x14ac:dyDescent="0.25">
      <c r="C989" s="38"/>
      <c r="D989" s="38"/>
    </row>
    <row r="990" spans="3:4" x14ac:dyDescent="0.25">
      <c r="C990" s="38"/>
      <c r="D990" s="38"/>
    </row>
    <row r="991" spans="3:4" x14ac:dyDescent="0.25">
      <c r="C991" s="38"/>
      <c r="D991" s="38"/>
    </row>
    <row r="992" spans="3:4" x14ac:dyDescent="0.25">
      <c r="C992" s="38"/>
      <c r="D992" s="38"/>
    </row>
    <row r="993" spans="3:4" x14ac:dyDescent="0.25">
      <c r="C993" s="38"/>
      <c r="D993" s="38"/>
    </row>
    <row r="994" spans="3:4" x14ac:dyDescent="0.25">
      <c r="C994" s="38"/>
      <c r="D994" s="38"/>
    </row>
    <row r="995" spans="3:4" x14ac:dyDescent="0.25">
      <c r="C995" s="38"/>
      <c r="D995" s="38"/>
    </row>
    <row r="996" spans="3:4" x14ac:dyDescent="0.25">
      <c r="C996" s="38"/>
      <c r="D996" s="38"/>
    </row>
    <row r="997" spans="3:4" x14ac:dyDescent="0.25">
      <c r="C997" s="38"/>
      <c r="D997" s="38"/>
    </row>
    <row r="998" spans="3:4" x14ac:dyDescent="0.25">
      <c r="C998" s="38"/>
      <c r="D998" s="38"/>
    </row>
    <row r="999" spans="3:4" x14ac:dyDescent="0.25">
      <c r="C999" s="38"/>
      <c r="D999" s="38"/>
    </row>
    <row r="1000" spans="3:4" x14ac:dyDescent="0.25">
      <c r="C1000" s="38"/>
      <c r="D1000" s="38"/>
    </row>
    <row r="1001" spans="3:4" x14ac:dyDescent="0.25">
      <c r="C1001" s="38"/>
      <c r="D1001" s="38"/>
    </row>
    <row r="1002" spans="3:4" x14ac:dyDescent="0.25">
      <c r="C1002" s="38"/>
      <c r="D1002" s="38"/>
    </row>
    <row r="1003" spans="3:4" x14ac:dyDescent="0.25">
      <c r="C1003" s="38"/>
      <c r="D1003" s="38"/>
    </row>
    <row r="1004" spans="3:4" x14ac:dyDescent="0.25">
      <c r="C1004" s="38"/>
      <c r="D1004" s="38"/>
    </row>
    <row r="1005" spans="3:4" x14ac:dyDescent="0.25">
      <c r="C1005" s="38"/>
      <c r="D1005" s="38"/>
    </row>
    <row r="1006" spans="3:4" x14ac:dyDescent="0.25">
      <c r="C1006" s="38"/>
      <c r="D1006" s="38"/>
    </row>
    <row r="1007" spans="3:4" x14ac:dyDescent="0.25">
      <c r="C1007" s="38"/>
      <c r="D1007" s="38"/>
    </row>
    <row r="1008" spans="3:4" x14ac:dyDescent="0.25">
      <c r="C1008" s="38"/>
      <c r="D1008" s="38"/>
    </row>
    <row r="1009" spans="3:4" x14ac:dyDescent="0.25">
      <c r="C1009" s="38"/>
      <c r="D1009" s="38"/>
    </row>
    <row r="1010" spans="3:4" x14ac:dyDescent="0.25">
      <c r="C1010" s="38"/>
      <c r="D1010" s="38"/>
    </row>
    <row r="1011" spans="3:4" x14ac:dyDescent="0.25">
      <c r="C1011" s="38"/>
      <c r="D1011" s="38"/>
    </row>
    <row r="1012" spans="3:4" x14ac:dyDescent="0.25">
      <c r="C1012" s="38"/>
      <c r="D1012" s="38"/>
    </row>
    <row r="1013" spans="3:4" x14ac:dyDescent="0.25">
      <c r="C1013" s="38"/>
      <c r="D1013" s="38"/>
    </row>
    <row r="1014" spans="3:4" x14ac:dyDescent="0.25">
      <c r="C1014" s="38"/>
      <c r="D1014" s="38"/>
    </row>
    <row r="1015" spans="3:4" x14ac:dyDescent="0.25">
      <c r="C1015" s="38"/>
      <c r="D1015" s="38"/>
    </row>
    <row r="1016" spans="3:4" x14ac:dyDescent="0.25">
      <c r="C1016" s="38"/>
      <c r="D1016" s="38"/>
    </row>
    <row r="1017" spans="3:4" x14ac:dyDescent="0.25">
      <c r="C1017" s="38"/>
      <c r="D1017" s="38"/>
    </row>
    <row r="1018" spans="3:4" x14ac:dyDescent="0.25">
      <c r="C1018" s="38"/>
      <c r="D1018" s="38"/>
    </row>
    <row r="1019" spans="3:4" x14ac:dyDescent="0.25">
      <c r="C1019" s="38"/>
      <c r="D1019" s="38"/>
    </row>
    <row r="1020" spans="3:4" x14ac:dyDescent="0.25">
      <c r="C1020" s="38"/>
      <c r="D1020" s="38"/>
    </row>
    <row r="1021" spans="3:4" x14ac:dyDescent="0.25">
      <c r="C1021" s="38"/>
      <c r="D1021" s="38"/>
    </row>
    <row r="1022" spans="3:4" x14ac:dyDescent="0.25">
      <c r="C1022" s="38"/>
      <c r="D1022" s="38"/>
    </row>
    <row r="1023" spans="3:4" x14ac:dyDescent="0.25">
      <c r="C1023" s="38"/>
      <c r="D1023" s="38"/>
    </row>
    <row r="1024" spans="3:4" x14ac:dyDescent="0.25">
      <c r="C1024" s="38"/>
      <c r="D1024" s="38"/>
    </row>
    <row r="1025" spans="3:4" x14ac:dyDescent="0.25">
      <c r="C1025" s="38"/>
      <c r="D1025" s="38"/>
    </row>
    <row r="1026" spans="3:4" x14ac:dyDescent="0.25">
      <c r="C1026" s="38"/>
      <c r="D1026" s="38"/>
    </row>
    <row r="1027" spans="3:4" x14ac:dyDescent="0.25">
      <c r="C1027" s="38"/>
      <c r="D1027" s="38"/>
    </row>
    <row r="1028" spans="3:4" x14ac:dyDescent="0.25">
      <c r="C1028" s="38"/>
      <c r="D1028" s="38"/>
    </row>
    <row r="1029" spans="3:4" x14ac:dyDescent="0.25">
      <c r="C1029" s="38"/>
      <c r="D1029" s="38"/>
    </row>
    <row r="1030" spans="3:4" x14ac:dyDescent="0.25">
      <c r="C1030" s="38"/>
      <c r="D1030" s="38"/>
    </row>
    <row r="1031" spans="3:4" x14ac:dyDescent="0.25">
      <c r="C1031" s="38"/>
      <c r="D1031" s="38"/>
    </row>
    <row r="1032" spans="3:4" x14ac:dyDescent="0.25">
      <c r="C1032" s="38"/>
      <c r="D1032" s="38"/>
    </row>
    <row r="1033" spans="3:4" x14ac:dyDescent="0.25">
      <c r="C1033" s="38"/>
      <c r="D1033" s="38"/>
    </row>
    <row r="1034" spans="3:4" x14ac:dyDescent="0.25">
      <c r="C1034" s="38"/>
      <c r="D1034" s="38"/>
    </row>
    <row r="1035" spans="3:4" x14ac:dyDescent="0.25">
      <c r="C1035" s="38"/>
      <c r="D1035" s="38"/>
    </row>
    <row r="1036" spans="3:4" x14ac:dyDescent="0.25">
      <c r="C1036" s="38"/>
      <c r="D1036" s="38"/>
    </row>
    <row r="1037" spans="3:4" x14ac:dyDescent="0.25">
      <c r="C1037" s="38"/>
      <c r="D1037" s="38"/>
    </row>
    <row r="1038" spans="3:4" x14ac:dyDescent="0.25">
      <c r="C1038" s="38"/>
      <c r="D1038" s="38"/>
    </row>
    <row r="1039" spans="3:4" x14ac:dyDescent="0.25">
      <c r="C1039" s="38"/>
      <c r="D1039" s="38"/>
    </row>
    <row r="1040" spans="3:4" x14ac:dyDescent="0.25">
      <c r="C1040" s="38"/>
      <c r="D1040" s="38"/>
    </row>
    <row r="1041" spans="3:4" x14ac:dyDescent="0.25">
      <c r="C1041" s="38"/>
      <c r="D1041" s="38"/>
    </row>
    <row r="1042" spans="3:4" x14ac:dyDescent="0.25">
      <c r="C1042" s="38"/>
      <c r="D1042" s="38"/>
    </row>
    <row r="1043" spans="3:4" x14ac:dyDescent="0.25">
      <c r="C1043" s="38"/>
      <c r="D1043" s="38"/>
    </row>
    <row r="1044" spans="3:4" x14ac:dyDescent="0.25">
      <c r="C1044" s="38"/>
      <c r="D1044" s="38"/>
    </row>
    <row r="1045" spans="3:4" x14ac:dyDescent="0.25">
      <c r="C1045" s="38"/>
      <c r="D1045" s="38"/>
    </row>
    <row r="1046" spans="3:4" x14ac:dyDescent="0.25">
      <c r="C1046" s="38"/>
      <c r="D1046" s="38"/>
    </row>
    <row r="1047" spans="3:4" x14ac:dyDescent="0.25">
      <c r="C1047" s="38"/>
      <c r="D1047" s="38"/>
    </row>
    <row r="1048" spans="3:4" x14ac:dyDescent="0.25">
      <c r="C1048" s="38"/>
      <c r="D1048" s="38"/>
    </row>
    <row r="1049" spans="3:4" x14ac:dyDescent="0.25">
      <c r="C1049" s="38"/>
      <c r="D1049" s="38"/>
    </row>
    <row r="1050" spans="3:4" x14ac:dyDescent="0.25">
      <c r="C1050" s="38"/>
      <c r="D1050" s="38"/>
    </row>
    <row r="1051" spans="3:4" x14ac:dyDescent="0.25">
      <c r="C1051" s="38"/>
      <c r="D1051" s="38"/>
    </row>
    <row r="1052" spans="3:4" x14ac:dyDescent="0.25">
      <c r="C1052" s="38"/>
      <c r="D1052" s="38"/>
    </row>
    <row r="1053" spans="3:4" x14ac:dyDescent="0.25">
      <c r="C1053" s="38"/>
      <c r="D1053" s="38"/>
    </row>
    <row r="1054" spans="3:4" x14ac:dyDescent="0.25">
      <c r="C1054" s="38"/>
      <c r="D1054" s="38"/>
    </row>
    <row r="1055" spans="3:4" x14ac:dyDescent="0.25">
      <c r="C1055" s="38"/>
      <c r="D1055" s="38"/>
    </row>
    <row r="1056" spans="3:4" x14ac:dyDescent="0.25">
      <c r="C1056" s="38"/>
      <c r="D1056" s="38"/>
    </row>
    <row r="1057" spans="3:4" x14ac:dyDescent="0.25">
      <c r="C1057" s="38"/>
      <c r="D1057" s="38"/>
    </row>
    <row r="1058" spans="3:4" x14ac:dyDescent="0.25">
      <c r="C1058" s="38"/>
      <c r="D1058" s="38"/>
    </row>
    <row r="1059" spans="3:4" x14ac:dyDescent="0.25">
      <c r="C1059" s="38"/>
      <c r="D1059" s="38"/>
    </row>
    <row r="1060" spans="3:4" x14ac:dyDescent="0.25">
      <c r="C1060" s="38"/>
      <c r="D1060" s="38"/>
    </row>
    <row r="1061" spans="3:4" x14ac:dyDescent="0.25">
      <c r="C1061" s="38"/>
      <c r="D1061" s="38"/>
    </row>
    <row r="1062" spans="3:4" x14ac:dyDescent="0.25">
      <c r="C1062" s="38"/>
      <c r="D1062" s="38"/>
    </row>
    <row r="1063" spans="3:4" x14ac:dyDescent="0.25">
      <c r="C1063" s="38"/>
      <c r="D1063" s="38"/>
    </row>
    <row r="1064" spans="3:4" x14ac:dyDescent="0.25">
      <c r="C1064" s="38"/>
      <c r="D1064" s="38"/>
    </row>
    <row r="1065" spans="3:4" x14ac:dyDescent="0.25">
      <c r="C1065" s="38"/>
      <c r="D1065" s="38"/>
    </row>
    <row r="1066" spans="3:4" x14ac:dyDescent="0.25">
      <c r="C1066" s="38"/>
      <c r="D1066" s="38"/>
    </row>
    <row r="1067" spans="3:4" x14ac:dyDescent="0.25">
      <c r="C1067" s="38"/>
      <c r="D1067" s="38"/>
    </row>
    <row r="1068" spans="3:4" x14ac:dyDescent="0.25">
      <c r="C1068" s="38"/>
      <c r="D1068" s="38"/>
    </row>
    <row r="1069" spans="3:4" x14ac:dyDescent="0.25">
      <c r="C1069" s="38"/>
      <c r="D1069" s="38"/>
    </row>
    <row r="1070" spans="3:4" x14ac:dyDescent="0.25">
      <c r="C1070" s="38"/>
      <c r="D1070" s="38"/>
    </row>
    <row r="1071" spans="3:4" x14ac:dyDescent="0.25">
      <c r="C1071" s="38"/>
      <c r="D1071" s="38"/>
    </row>
    <row r="1072" spans="3:4" x14ac:dyDescent="0.25">
      <c r="C1072" s="38"/>
      <c r="D1072" s="38"/>
    </row>
    <row r="1073" spans="3:4" x14ac:dyDescent="0.25">
      <c r="C1073" s="38"/>
      <c r="D1073" s="38"/>
    </row>
    <row r="1074" spans="3:4" x14ac:dyDescent="0.25">
      <c r="C1074" s="38"/>
      <c r="D1074" s="38"/>
    </row>
    <row r="1075" spans="3:4" x14ac:dyDescent="0.25">
      <c r="C1075" s="38"/>
      <c r="D1075" s="38"/>
    </row>
    <row r="1076" spans="3:4" x14ac:dyDescent="0.25">
      <c r="C1076" s="38"/>
      <c r="D1076" s="38"/>
    </row>
    <row r="1077" spans="3:4" x14ac:dyDescent="0.25">
      <c r="C1077" s="38"/>
      <c r="D1077" s="38"/>
    </row>
    <row r="1078" spans="3:4" x14ac:dyDescent="0.25">
      <c r="C1078" s="38"/>
      <c r="D1078" s="38"/>
    </row>
    <row r="1079" spans="3:4" x14ac:dyDescent="0.25">
      <c r="C1079" s="38"/>
      <c r="D1079" s="38"/>
    </row>
    <row r="1080" spans="3:4" x14ac:dyDescent="0.25">
      <c r="C1080" s="38"/>
      <c r="D1080" s="38"/>
    </row>
    <row r="1081" spans="3:4" x14ac:dyDescent="0.25">
      <c r="C1081" s="38"/>
      <c r="D1081" s="38"/>
    </row>
    <row r="1082" spans="3:4" x14ac:dyDescent="0.25">
      <c r="C1082" s="38"/>
      <c r="D1082" s="38"/>
    </row>
    <row r="1083" spans="3:4" x14ac:dyDescent="0.25">
      <c r="C1083" s="38"/>
      <c r="D1083" s="38"/>
    </row>
    <row r="1084" spans="3:4" x14ac:dyDescent="0.25">
      <c r="C1084" s="38"/>
      <c r="D1084" s="38"/>
    </row>
    <row r="1085" spans="3:4" x14ac:dyDescent="0.25">
      <c r="C1085" s="38"/>
      <c r="D1085" s="38"/>
    </row>
    <row r="1086" spans="3:4" x14ac:dyDescent="0.25">
      <c r="C1086" s="38"/>
      <c r="D1086" s="38"/>
    </row>
    <row r="1087" spans="3:4" x14ac:dyDescent="0.25">
      <c r="C1087" s="38"/>
      <c r="D1087" s="38"/>
    </row>
    <row r="1088" spans="3:4" x14ac:dyDescent="0.25">
      <c r="C1088" s="38"/>
      <c r="D1088" s="38"/>
    </row>
    <row r="1089" spans="3:4" x14ac:dyDescent="0.25">
      <c r="C1089" s="38"/>
      <c r="D1089" s="38"/>
    </row>
    <row r="1090" spans="3:4" x14ac:dyDescent="0.25">
      <c r="C1090" s="38"/>
      <c r="D1090" s="38"/>
    </row>
    <row r="1091" spans="3:4" x14ac:dyDescent="0.25">
      <c r="C1091" s="38"/>
      <c r="D1091" s="38"/>
    </row>
    <row r="1092" spans="3:4" x14ac:dyDescent="0.25">
      <c r="C1092" s="38"/>
      <c r="D1092" s="38"/>
    </row>
    <row r="1093" spans="3:4" x14ac:dyDescent="0.25">
      <c r="C1093" s="38"/>
      <c r="D1093" s="38"/>
    </row>
    <row r="1094" spans="3:4" x14ac:dyDescent="0.25">
      <c r="C1094" s="38"/>
      <c r="D1094" s="38"/>
    </row>
    <row r="1095" spans="3:4" x14ac:dyDescent="0.25">
      <c r="C1095" s="38"/>
      <c r="D1095" s="38"/>
    </row>
    <row r="1096" spans="3:4" x14ac:dyDescent="0.25">
      <c r="C1096" s="38"/>
      <c r="D1096" s="38"/>
    </row>
    <row r="1097" spans="3:4" x14ac:dyDescent="0.25">
      <c r="C1097" s="38"/>
      <c r="D1097" s="38"/>
    </row>
    <row r="1098" spans="3:4" x14ac:dyDescent="0.25">
      <c r="C1098" s="38"/>
      <c r="D1098" s="38"/>
    </row>
    <row r="1099" spans="3:4" x14ac:dyDescent="0.25">
      <c r="C1099" s="38"/>
      <c r="D1099" s="38"/>
    </row>
    <row r="1100" spans="3:4" x14ac:dyDescent="0.25">
      <c r="C1100" s="38"/>
      <c r="D1100" s="38"/>
    </row>
    <row r="1101" spans="3:4" x14ac:dyDescent="0.25">
      <c r="C1101" s="38"/>
      <c r="D1101" s="38"/>
    </row>
    <row r="1102" spans="3:4" x14ac:dyDescent="0.25">
      <c r="C1102" s="38"/>
      <c r="D1102" s="38"/>
    </row>
    <row r="1103" spans="3:4" x14ac:dyDescent="0.25">
      <c r="C1103" s="38"/>
      <c r="D1103" s="38"/>
    </row>
    <row r="1104" spans="3:4" x14ac:dyDescent="0.25">
      <c r="C1104" s="38"/>
      <c r="D1104" s="38"/>
    </row>
    <row r="1105" spans="3:4" x14ac:dyDescent="0.25">
      <c r="C1105" s="38"/>
      <c r="D1105" s="38"/>
    </row>
    <row r="1106" spans="3:4" x14ac:dyDescent="0.25">
      <c r="C1106" s="38"/>
      <c r="D1106" s="38"/>
    </row>
    <row r="1107" spans="3:4" x14ac:dyDescent="0.25">
      <c r="C1107" s="38"/>
      <c r="D1107" s="38"/>
    </row>
    <row r="1108" spans="3:4" x14ac:dyDescent="0.25">
      <c r="C1108" s="38"/>
      <c r="D1108" s="38"/>
    </row>
    <row r="1109" spans="3:4" x14ac:dyDescent="0.25">
      <c r="C1109" s="38"/>
      <c r="D1109" s="38"/>
    </row>
    <row r="1110" spans="3:4" x14ac:dyDescent="0.25">
      <c r="C1110" s="38"/>
      <c r="D1110" s="38"/>
    </row>
    <row r="1111" spans="3:4" x14ac:dyDescent="0.25">
      <c r="C1111" s="38"/>
      <c r="D1111" s="38"/>
    </row>
    <row r="1112" spans="3:4" x14ac:dyDescent="0.25">
      <c r="C1112" s="38"/>
      <c r="D1112" s="38"/>
    </row>
    <row r="1113" spans="3:4" x14ac:dyDescent="0.25">
      <c r="C1113" s="38"/>
      <c r="D1113" s="38"/>
    </row>
    <row r="1114" spans="3:4" x14ac:dyDescent="0.25">
      <c r="C1114" s="38"/>
      <c r="D1114" s="38"/>
    </row>
    <row r="1115" spans="3:4" x14ac:dyDescent="0.25">
      <c r="C1115" s="38"/>
      <c r="D1115" s="38"/>
    </row>
    <row r="1116" spans="3:4" x14ac:dyDescent="0.25">
      <c r="C1116" s="38"/>
      <c r="D1116" s="38"/>
    </row>
    <row r="1117" spans="3:4" x14ac:dyDescent="0.25">
      <c r="C1117" s="38"/>
      <c r="D1117" s="38"/>
    </row>
    <row r="1118" spans="3:4" x14ac:dyDescent="0.25">
      <c r="C1118" s="38"/>
      <c r="D1118" s="38"/>
    </row>
    <row r="1119" spans="3:4" x14ac:dyDescent="0.25">
      <c r="C1119" s="38"/>
      <c r="D1119" s="38"/>
    </row>
    <row r="1120" spans="3:4" x14ac:dyDescent="0.25">
      <c r="C1120" s="38"/>
      <c r="D1120" s="38"/>
    </row>
    <row r="1121" spans="3:4" x14ac:dyDescent="0.25">
      <c r="C1121" s="38"/>
      <c r="D1121" s="38"/>
    </row>
    <row r="1122" spans="3:4" x14ac:dyDescent="0.25">
      <c r="C1122" s="38"/>
      <c r="D1122" s="38"/>
    </row>
    <row r="1123" spans="3:4" x14ac:dyDescent="0.25">
      <c r="C1123" s="38"/>
      <c r="D1123" s="38"/>
    </row>
    <row r="1124" spans="3:4" x14ac:dyDescent="0.25">
      <c r="C1124" s="38"/>
      <c r="D1124" s="38"/>
    </row>
    <row r="1125" spans="3:4" x14ac:dyDescent="0.25">
      <c r="C1125" s="38"/>
      <c r="D1125" s="38"/>
    </row>
    <row r="1126" spans="3:4" x14ac:dyDescent="0.25">
      <c r="C1126" s="38"/>
      <c r="D1126" s="38"/>
    </row>
    <row r="1127" spans="3:4" x14ac:dyDescent="0.25">
      <c r="C1127" s="38"/>
      <c r="D1127" s="38"/>
    </row>
    <row r="1128" spans="3:4" x14ac:dyDescent="0.25">
      <c r="C1128" s="38"/>
      <c r="D1128" s="38"/>
    </row>
    <row r="1129" spans="3:4" x14ac:dyDescent="0.25">
      <c r="C1129" s="38"/>
      <c r="D1129" s="38"/>
    </row>
    <row r="1130" spans="3:4" x14ac:dyDescent="0.25">
      <c r="C1130" s="38"/>
      <c r="D1130" s="38"/>
    </row>
    <row r="1131" spans="3:4" x14ac:dyDescent="0.25">
      <c r="C1131" s="38"/>
      <c r="D1131" s="38"/>
    </row>
    <row r="1132" spans="3:4" x14ac:dyDescent="0.25">
      <c r="C1132" s="38"/>
      <c r="D1132" s="38"/>
    </row>
    <row r="1133" spans="3:4" x14ac:dyDescent="0.25">
      <c r="C1133" s="38"/>
      <c r="D1133" s="38"/>
    </row>
    <row r="1134" spans="3:4" x14ac:dyDescent="0.25">
      <c r="C1134" s="38"/>
      <c r="D1134" s="38"/>
    </row>
    <row r="1135" spans="3:4" x14ac:dyDescent="0.25">
      <c r="C1135" s="38"/>
      <c r="D1135" s="38"/>
    </row>
    <row r="1136" spans="3:4" x14ac:dyDescent="0.25">
      <c r="C1136" s="38"/>
      <c r="D1136" s="38"/>
    </row>
    <row r="1137" spans="3:4" x14ac:dyDescent="0.25">
      <c r="C1137" s="38"/>
      <c r="D1137" s="38"/>
    </row>
    <row r="1138" spans="3:4" x14ac:dyDescent="0.25">
      <c r="C1138" s="38"/>
      <c r="D1138" s="38"/>
    </row>
    <row r="1139" spans="3:4" x14ac:dyDescent="0.25">
      <c r="C1139" s="38"/>
      <c r="D1139" s="38"/>
    </row>
    <row r="1140" spans="3:4" x14ac:dyDescent="0.25">
      <c r="C1140" s="38"/>
      <c r="D1140" s="38"/>
    </row>
    <row r="1141" spans="3:4" x14ac:dyDescent="0.25">
      <c r="C1141" s="38"/>
      <c r="D1141" s="38"/>
    </row>
    <row r="1142" spans="3:4" x14ac:dyDescent="0.25">
      <c r="C1142" s="38"/>
      <c r="D1142" s="38"/>
    </row>
    <row r="1143" spans="3:4" x14ac:dyDescent="0.25">
      <c r="C1143" s="38"/>
      <c r="D1143" s="38"/>
    </row>
    <row r="1144" spans="3:4" x14ac:dyDescent="0.25">
      <c r="C1144" s="38"/>
      <c r="D1144" s="38"/>
    </row>
    <row r="1145" spans="3:4" x14ac:dyDescent="0.25">
      <c r="C1145" s="38"/>
      <c r="D1145" s="38"/>
    </row>
    <row r="1146" spans="3:4" x14ac:dyDescent="0.25">
      <c r="C1146" s="38"/>
      <c r="D1146" s="38"/>
    </row>
    <row r="1147" spans="3:4" x14ac:dyDescent="0.25">
      <c r="C1147" s="38"/>
      <c r="D1147" s="38"/>
    </row>
    <row r="1148" spans="3:4" x14ac:dyDescent="0.25">
      <c r="C1148" s="38"/>
      <c r="D1148" s="38"/>
    </row>
    <row r="1149" spans="3:4" x14ac:dyDescent="0.25">
      <c r="C1149" s="38"/>
      <c r="D1149" s="38"/>
    </row>
    <row r="1150" spans="3:4" x14ac:dyDescent="0.25">
      <c r="C1150" s="38"/>
      <c r="D1150" s="38"/>
    </row>
    <row r="1151" spans="3:4" x14ac:dyDescent="0.25">
      <c r="C1151" s="38"/>
      <c r="D1151" s="38"/>
    </row>
    <row r="1152" spans="3:4" x14ac:dyDescent="0.25">
      <c r="C1152" s="38"/>
      <c r="D1152" s="38"/>
    </row>
    <row r="1153" spans="3:4" x14ac:dyDescent="0.25">
      <c r="C1153" s="38"/>
      <c r="D1153" s="38"/>
    </row>
    <row r="1154" spans="3:4" x14ac:dyDescent="0.25">
      <c r="C1154" s="38"/>
      <c r="D1154" s="38"/>
    </row>
    <row r="1155" spans="3:4" x14ac:dyDescent="0.25">
      <c r="C1155" s="38"/>
      <c r="D1155" s="38"/>
    </row>
    <row r="1156" spans="3:4" x14ac:dyDescent="0.25">
      <c r="C1156" s="38"/>
      <c r="D1156" s="38"/>
    </row>
    <row r="1157" spans="3:4" x14ac:dyDescent="0.25">
      <c r="C1157" s="38"/>
      <c r="D1157" s="38"/>
    </row>
    <row r="1158" spans="3:4" x14ac:dyDescent="0.25">
      <c r="C1158" s="38"/>
      <c r="D1158" s="38"/>
    </row>
    <row r="1159" spans="3:4" x14ac:dyDescent="0.25">
      <c r="C1159" s="38"/>
      <c r="D1159" s="38"/>
    </row>
    <row r="1160" spans="3:4" x14ac:dyDescent="0.25">
      <c r="C1160" s="38"/>
      <c r="D1160" s="38"/>
    </row>
    <row r="1161" spans="3:4" x14ac:dyDescent="0.25">
      <c r="C1161" s="38"/>
      <c r="D1161" s="38"/>
    </row>
    <row r="1162" spans="3:4" x14ac:dyDescent="0.25">
      <c r="C1162" s="38"/>
      <c r="D1162" s="38"/>
    </row>
    <row r="1163" spans="3:4" x14ac:dyDescent="0.25">
      <c r="C1163" s="38"/>
      <c r="D1163" s="38"/>
    </row>
    <row r="1164" spans="3:4" x14ac:dyDescent="0.25">
      <c r="C1164" s="38"/>
      <c r="D1164" s="38"/>
    </row>
    <row r="1165" spans="3:4" x14ac:dyDescent="0.25">
      <c r="C1165" s="38"/>
      <c r="D1165" s="38"/>
    </row>
    <row r="1166" spans="3:4" x14ac:dyDescent="0.25">
      <c r="C1166" s="38"/>
      <c r="D1166" s="38"/>
    </row>
    <row r="1167" spans="3:4" x14ac:dyDescent="0.25">
      <c r="C1167" s="38"/>
      <c r="D1167" s="38"/>
    </row>
    <row r="1168" spans="3:4" x14ac:dyDescent="0.25">
      <c r="C1168" s="38"/>
      <c r="D1168" s="38"/>
    </row>
    <row r="1169" spans="3:4" x14ac:dyDescent="0.25">
      <c r="C1169" s="38"/>
      <c r="D1169" s="38"/>
    </row>
    <row r="1170" spans="3:4" x14ac:dyDescent="0.25">
      <c r="C1170" s="38"/>
      <c r="D1170" s="38"/>
    </row>
    <row r="1171" spans="3:4" x14ac:dyDescent="0.25">
      <c r="C1171" s="38"/>
      <c r="D1171" s="38"/>
    </row>
    <row r="1172" spans="3:4" x14ac:dyDescent="0.25">
      <c r="C1172" s="38"/>
      <c r="D1172" s="38"/>
    </row>
    <row r="1173" spans="3:4" x14ac:dyDescent="0.25">
      <c r="C1173" s="38"/>
      <c r="D1173" s="38"/>
    </row>
    <row r="1174" spans="3:4" x14ac:dyDescent="0.25">
      <c r="C1174" s="38"/>
      <c r="D1174" s="38"/>
    </row>
    <row r="1175" spans="3:4" x14ac:dyDescent="0.25">
      <c r="C1175" s="38"/>
      <c r="D1175" s="38"/>
    </row>
    <row r="1176" spans="3:4" x14ac:dyDescent="0.25">
      <c r="C1176" s="38"/>
      <c r="D1176" s="38"/>
    </row>
    <row r="1177" spans="3:4" x14ac:dyDescent="0.25">
      <c r="C1177" s="38"/>
      <c r="D1177" s="38"/>
    </row>
    <row r="1178" spans="3:4" x14ac:dyDescent="0.25">
      <c r="C1178" s="38"/>
      <c r="D1178" s="38"/>
    </row>
    <row r="1179" spans="3:4" x14ac:dyDescent="0.25">
      <c r="C1179" s="38"/>
      <c r="D1179" s="38"/>
    </row>
    <row r="1180" spans="3:4" x14ac:dyDescent="0.25">
      <c r="C1180" s="38"/>
      <c r="D1180" s="38"/>
    </row>
    <row r="1181" spans="3:4" x14ac:dyDescent="0.25">
      <c r="C1181" s="38"/>
      <c r="D1181" s="38"/>
    </row>
    <row r="1182" spans="3:4" x14ac:dyDescent="0.25">
      <c r="C1182" s="38"/>
      <c r="D1182" s="38"/>
    </row>
    <row r="1183" spans="3:4" x14ac:dyDescent="0.25">
      <c r="C1183" s="38"/>
      <c r="D1183" s="38"/>
    </row>
    <row r="1184" spans="3:4" x14ac:dyDescent="0.25">
      <c r="C1184" s="38"/>
      <c r="D1184" s="38"/>
    </row>
    <row r="1185" spans="3:4" x14ac:dyDescent="0.25">
      <c r="C1185" s="38"/>
      <c r="D1185" s="38"/>
    </row>
    <row r="1186" spans="3:4" x14ac:dyDescent="0.25">
      <c r="C1186" s="38"/>
      <c r="D1186" s="38"/>
    </row>
    <row r="1187" spans="3:4" x14ac:dyDescent="0.25">
      <c r="C1187" s="38"/>
      <c r="D1187" s="38"/>
    </row>
    <row r="1188" spans="3:4" x14ac:dyDescent="0.25">
      <c r="C1188" s="38"/>
      <c r="D1188" s="38"/>
    </row>
    <row r="1189" spans="3:4" x14ac:dyDescent="0.25">
      <c r="C1189" s="38"/>
      <c r="D1189" s="38"/>
    </row>
    <row r="1190" spans="3:4" x14ac:dyDescent="0.25">
      <c r="C1190" s="38"/>
      <c r="D1190" s="38"/>
    </row>
    <row r="1191" spans="3:4" x14ac:dyDescent="0.25">
      <c r="C1191" s="38"/>
      <c r="D1191" s="38"/>
    </row>
    <row r="1192" spans="3:4" x14ac:dyDescent="0.25">
      <c r="C1192" s="38"/>
      <c r="D1192" s="38"/>
    </row>
    <row r="1193" spans="3:4" x14ac:dyDescent="0.25">
      <c r="C1193" s="38"/>
      <c r="D1193" s="38"/>
    </row>
    <row r="1194" spans="3:4" x14ac:dyDescent="0.25">
      <c r="C1194" s="38"/>
      <c r="D1194" s="38"/>
    </row>
    <row r="1195" spans="3:4" x14ac:dyDescent="0.25">
      <c r="C1195" s="38"/>
      <c r="D1195" s="38"/>
    </row>
    <row r="1196" spans="3:4" x14ac:dyDescent="0.25">
      <c r="C1196" s="38"/>
      <c r="D1196" s="38"/>
    </row>
    <row r="1197" spans="3:4" x14ac:dyDescent="0.25">
      <c r="C1197" s="38"/>
      <c r="D1197" s="38"/>
    </row>
    <row r="1198" spans="3:4" x14ac:dyDescent="0.25">
      <c r="C1198" s="38"/>
      <c r="D1198" s="38"/>
    </row>
    <row r="1199" spans="3:4" x14ac:dyDescent="0.25">
      <c r="C1199" s="38"/>
      <c r="D1199" s="38"/>
    </row>
    <row r="1200" spans="3:4" x14ac:dyDescent="0.25">
      <c r="C1200" s="38"/>
      <c r="D1200" s="38"/>
    </row>
    <row r="1201" spans="3:4" x14ac:dyDescent="0.25">
      <c r="C1201" s="38"/>
      <c r="D1201" s="38"/>
    </row>
    <row r="1202" spans="3:4" x14ac:dyDescent="0.25">
      <c r="C1202" s="38"/>
      <c r="D1202" s="38"/>
    </row>
    <row r="1203" spans="3:4" x14ac:dyDescent="0.25">
      <c r="C1203" s="38"/>
      <c r="D1203" s="38"/>
    </row>
    <row r="1204" spans="3:4" x14ac:dyDescent="0.25">
      <c r="C1204" s="38"/>
      <c r="D1204" s="38"/>
    </row>
    <row r="1205" spans="3:4" x14ac:dyDescent="0.25">
      <c r="C1205" s="38"/>
      <c r="D1205" s="38"/>
    </row>
    <row r="1206" spans="3:4" x14ac:dyDescent="0.25">
      <c r="C1206" s="38"/>
      <c r="D1206" s="38"/>
    </row>
    <row r="1207" spans="3:4" x14ac:dyDescent="0.25">
      <c r="C1207" s="38"/>
      <c r="D1207" s="38"/>
    </row>
    <row r="1208" spans="3:4" x14ac:dyDescent="0.25">
      <c r="C1208" s="38"/>
      <c r="D1208" s="38"/>
    </row>
    <row r="1209" spans="3:4" x14ac:dyDescent="0.25">
      <c r="C1209" s="38"/>
      <c r="D1209" s="38"/>
    </row>
    <row r="1210" spans="3:4" x14ac:dyDescent="0.25">
      <c r="C1210" s="38"/>
      <c r="D1210" s="38"/>
    </row>
    <row r="1211" spans="3:4" x14ac:dyDescent="0.25">
      <c r="C1211" s="38"/>
      <c r="D1211" s="38"/>
    </row>
    <row r="1212" spans="3:4" x14ac:dyDescent="0.25">
      <c r="C1212" s="38"/>
      <c r="D1212" s="38"/>
    </row>
    <row r="1213" spans="3:4" x14ac:dyDescent="0.25">
      <c r="C1213" s="38"/>
      <c r="D1213" s="38"/>
    </row>
    <row r="1214" spans="3:4" x14ac:dyDescent="0.25">
      <c r="C1214" s="38"/>
      <c r="D1214" s="38"/>
    </row>
    <row r="1215" spans="3:4" x14ac:dyDescent="0.25">
      <c r="C1215" s="38"/>
      <c r="D1215" s="38"/>
    </row>
    <row r="1216" spans="3:4" x14ac:dyDescent="0.25">
      <c r="C1216" s="38"/>
      <c r="D1216" s="38"/>
    </row>
    <row r="1217" spans="3:4" x14ac:dyDescent="0.25">
      <c r="C1217" s="38"/>
      <c r="D1217" s="38"/>
    </row>
    <row r="1218" spans="3:4" x14ac:dyDescent="0.25">
      <c r="C1218" s="38"/>
      <c r="D1218" s="38"/>
    </row>
    <row r="1219" spans="3:4" x14ac:dyDescent="0.25">
      <c r="C1219" s="38"/>
      <c r="D1219" s="38"/>
    </row>
    <row r="1220" spans="3:4" x14ac:dyDescent="0.25">
      <c r="C1220" s="38"/>
      <c r="D1220" s="38"/>
    </row>
    <row r="1221" spans="3:4" x14ac:dyDescent="0.25">
      <c r="C1221" s="38"/>
      <c r="D1221" s="38"/>
    </row>
    <row r="1222" spans="3:4" x14ac:dyDescent="0.25">
      <c r="C1222" s="38"/>
      <c r="D1222" s="38"/>
    </row>
    <row r="1223" spans="3:4" x14ac:dyDescent="0.25">
      <c r="C1223" s="38"/>
      <c r="D1223" s="38"/>
    </row>
    <row r="1224" spans="3:4" x14ac:dyDescent="0.25">
      <c r="C1224" s="38"/>
      <c r="D1224" s="38"/>
    </row>
    <row r="1225" spans="3:4" x14ac:dyDescent="0.25">
      <c r="C1225" s="38"/>
      <c r="D1225" s="38"/>
    </row>
    <row r="1226" spans="3:4" x14ac:dyDescent="0.25">
      <c r="C1226" s="38"/>
      <c r="D1226" s="38"/>
    </row>
    <row r="1227" spans="3:4" x14ac:dyDescent="0.25">
      <c r="C1227" s="38"/>
      <c r="D1227" s="38"/>
    </row>
    <row r="1228" spans="3:4" x14ac:dyDescent="0.25">
      <c r="C1228" s="38"/>
      <c r="D1228" s="38"/>
    </row>
    <row r="1229" spans="3:4" x14ac:dyDescent="0.25">
      <c r="C1229" s="38"/>
      <c r="D1229" s="38"/>
    </row>
    <row r="1230" spans="3:4" x14ac:dyDescent="0.25">
      <c r="C1230" s="38"/>
      <c r="D1230" s="38"/>
    </row>
    <row r="1231" spans="3:4" x14ac:dyDescent="0.25">
      <c r="C1231" s="38"/>
      <c r="D1231" s="38"/>
    </row>
    <row r="1232" spans="3:4" x14ac:dyDescent="0.25">
      <c r="C1232" s="38"/>
      <c r="D1232" s="38"/>
    </row>
    <row r="1233" spans="3:4" x14ac:dyDescent="0.25">
      <c r="C1233" s="38"/>
      <c r="D1233" s="38"/>
    </row>
    <row r="1234" spans="3:4" x14ac:dyDescent="0.25">
      <c r="C1234" s="38"/>
      <c r="D1234" s="38"/>
    </row>
    <row r="1235" spans="3:4" x14ac:dyDescent="0.25">
      <c r="C1235" s="38"/>
      <c r="D1235" s="38"/>
    </row>
    <row r="1236" spans="3:4" x14ac:dyDescent="0.25">
      <c r="C1236" s="38"/>
      <c r="D1236" s="38"/>
    </row>
    <row r="1237" spans="3:4" x14ac:dyDescent="0.25">
      <c r="C1237" s="38"/>
      <c r="D1237" s="38"/>
    </row>
    <row r="1238" spans="3:4" x14ac:dyDescent="0.25">
      <c r="C1238" s="38"/>
      <c r="D1238" s="38"/>
    </row>
    <row r="1239" spans="3:4" x14ac:dyDescent="0.25">
      <c r="C1239" s="38"/>
      <c r="D1239" s="38"/>
    </row>
    <row r="1240" spans="3:4" x14ac:dyDescent="0.25">
      <c r="C1240" s="38"/>
      <c r="D1240" s="38"/>
    </row>
    <row r="1241" spans="3:4" x14ac:dyDescent="0.25">
      <c r="C1241" s="38"/>
      <c r="D1241" s="38"/>
    </row>
    <row r="1242" spans="3:4" x14ac:dyDescent="0.25">
      <c r="C1242" s="38"/>
      <c r="D1242" s="38"/>
    </row>
    <row r="1243" spans="3:4" x14ac:dyDescent="0.25">
      <c r="C1243" s="38"/>
      <c r="D1243" s="38"/>
    </row>
    <row r="1244" spans="3:4" x14ac:dyDescent="0.25">
      <c r="C1244" s="38"/>
      <c r="D1244" s="38"/>
    </row>
    <row r="1245" spans="3:4" x14ac:dyDescent="0.25">
      <c r="C1245" s="38"/>
      <c r="D1245" s="38"/>
    </row>
    <row r="1246" spans="3:4" x14ac:dyDescent="0.25">
      <c r="C1246" s="38"/>
      <c r="D1246" s="38"/>
    </row>
    <row r="1247" spans="3:4" x14ac:dyDescent="0.25">
      <c r="C1247" s="38"/>
      <c r="D1247" s="38"/>
    </row>
    <row r="1248" spans="3:4" x14ac:dyDescent="0.25">
      <c r="C1248" s="38"/>
      <c r="D1248" s="38"/>
    </row>
    <row r="1249" spans="3:4" x14ac:dyDescent="0.25">
      <c r="C1249" s="38"/>
      <c r="D1249" s="38"/>
    </row>
    <row r="1250" spans="3:4" x14ac:dyDescent="0.25">
      <c r="C1250" s="38"/>
      <c r="D1250" s="38"/>
    </row>
    <row r="1251" spans="3:4" x14ac:dyDescent="0.25">
      <c r="C1251" s="38"/>
      <c r="D1251" s="38"/>
    </row>
    <row r="1252" spans="3:4" x14ac:dyDescent="0.25">
      <c r="C1252" s="38"/>
      <c r="D1252" s="38"/>
    </row>
    <row r="1253" spans="3:4" x14ac:dyDescent="0.25">
      <c r="C1253" s="38"/>
      <c r="D1253" s="38"/>
    </row>
    <row r="1254" spans="3:4" x14ac:dyDescent="0.25">
      <c r="C1254" s="38"/>
      <c r="D1254" s="38"/>
    </row>
    <row r="1255" spans="3:4" x14ac:dyDescent="0.25">
      <c r="C1255" s="38"/>
      <c r="D1255" s="38"/>
    </row>
    <row r="1256" spans="3:4" x14ac:dyDescent="0.25">
      <c r="C1256" s="38"/>
      <c r="D1256" s="38"/>
    </row>
    <row r="1257" spans="3:4" x14ac:dyDescent="0.25">
      <c r="C1257" s="38"/>
      <c r="D1257" s="38"/>
    </row>
    <row r="1258" spans="3:4" x14ac:dyDescent="0.25">
      <c r="C1258" s="38"/>
      <c r="D1258" s="38"/>
    </row>
    <row r="1259" spans="3:4" x14ac:dyDescent="0.25">
      <c r="C1259" s="38"/>
      <c r="D1259" s="38"/>
    </row>
    <row r="1260" spans="3:4" x14ac:dyDescent="0.25">
      <c r="C1260" s="38"/>
      <c r="D1260" s="38"/>
    </row>
    <row r="1261" spans="3:4" x14ac:dyDescent="0.25">
      <c r="C1261" s="38"/>
      <c r="D1261" s="38"/>
    </row>
    <row r="1262" spans="3:4" x14ac:dyDescent="0.25">
      <c r="C1262" s="38"/>
      <c r="D1262" s="38"/>
    </row>
    <row r="1263" spans="3:4" x14ac:dyDescent="0.25">
      <c r="C1263" s="38"/>
      <c r="D1263" s="38"/>
    </row>
    <row r="1264" spans="3:4" x14ac:dyDescent="0.25">
      <c r="C1264" s="38"/>
      <c r="D1264" s="38"/>
    </row>
    <row r="1265" spans="3:4" x14ac:dyDescent="0.25">
      <c r="C1265" s="38"/>
      <c r="D1265" s="38"/>
    </row>
    <row r="1266" spans="3:4" x14ac:dyDescent="0.25">
      <c r="C1266" s="38"/>
      <c r="D1266" s="38"/>
    </row>
    <row r="1267" spans="3:4" x14ac:dyDescent="0.25">
      <c r="C1267" s="38"/>
      <c r="D1267" s="38"/>
    </row>
    <row r="1268" spans="3:4" x14ac:dyDescent="0.25">
      <c r="C1268" s="38"/>
      <c r="D1268" s="38"/>
    </row>
    <row r="1269" spans="3:4" x14ac:dyDescent="0.25">
      <c r="C1269" s="38"/>
      <c r="D1269" s="38"/>
    </row>
    <row r="1270" spans="3:4" x14ac:dyDescent="0.25">
      <c r="C1270" s="38"/>
      <c r="D1270" s="38"/>
    </row>
    <row r="1271" spans="3:4" x14ac:dyDescent="0.25">
      <c r="C1271" s="38"/>
      <c r="D1271" s="38"/>
    </row>
    <row r="1272" spans="3:4" x14ac:dyDescent="0.25">
      <c r="C1272" s="38"/>
      <c r="D1272" s="38"/>
    </row>
    <row r="1273" spans="3:4" x14ac:dyDescent="0.25">
      <c r="C1273" s="38"/>
      <c r="D1273" s="38"/>
    </row>
    <row r="1274" spans="3:4" x14ac:dyDescent="0.25">
      <c r="C1274" s="38"/>
      <c r="D1274" s="38"/>
    </row>
    <row r="1275" spans="3:4" x14ac:dyDescent="0.25">
      <c r="C1275" s="38"/>
      <c r="D1275" s="38"/>
    </row>
    <row r="1276" spans="3:4" x14ac:dyDescent="0.25">
      <c r="C1276" s="38"/>
      <c r="D1276" s="38"/>
    </row>
    <row r="1277" spans="3:4" x14ac:dyDescent="0.25">
      <c r="C1277" s="38"/>
      <c r="D1277" s="38"/>
    </row>
    <row r="1278" spans="3:4" x14ac:dyDescent="0.25">
      <c r="C1278" s="38"/>
      <c r="D1278" s="38"/>
    </row>
    <row r="1279" spans="3:4" x14ac:dyDescent="0.25">
      <c r="C1279" s="38"/>
      <c r="D1279" s="38"/>
    </row>
    <row r="1280" spans="3:4" x14ac:dyDescent="0.25">
      <c r="C1280" s="38"/>
      <c r="D1280" s="38"/>
    </row>
    <row r="1281" spans="3:4" x14ac:dyDescent="0.25">
      <c r="C1281" s="38"/>
      <c r="D1281" s="38"/>
    </row>
    <row r="1282" spans="3:4" x14ac:dyDescent="0.25">
      <c r="C1282" s="38"/>
      <c r="D1282" s="38"/>
    </row>
    <row r="1283" spans="3:4" x14ac:dyDescent="0.25">
      <c r="C1283" s="38"/>
      <c r="D1283" s="38"/>
    </row>
    <row r="1284" spans="3:4" x14ac:dyDescent="0.25">
      <c r="C1284" s="38"/>
      <c r="D1284" s="38"/>
    </row>
    <row r="1285" spans="3:4" x14ac:dyDescent="0.25">
      <c r="C1285" s="38"/>
      <c r="D1285" s="38"/>
    </row>
    <row r="1286" spans="3:4" x14ac:dyDescent="0.25">
      <c r="C1286" s="38"/>
      <c r="D1286" s="38"/>
    </row>
    <row r="1287" spans="3:4" x14ac:dyDescent="0.25">
      <c r="C1287" s="38"/>
      <c r="D1287" s="38"/>
    </row>
    <row r="1288" spans="3:4" x14ac:dyDescent="0.25">
      <c r="C1288" s="38"/>
      <c r="D1288" s="38"/>
    </row>
    <row r="1289" spans="3:4" x14ac:dyDescent="0.25">
      <c r="C1289" s="38"/>
      <c r="D1289" s="38"/>
    </row>
    <row r="1290" spans="3:4" x14ac:dyDescent="0.25">
      <c r="C1290" s="38"/>
      <c r="D1290" s="38"/>
    </row>
    <row r="1291" spans="3:4" x14ac:dyDescent="0.25">
      <c r="C1291" s="38"/>
      <c r="D1291" s="38"/>
    </row>
    <row r="1292" spans="3:4" x14ac:dyDescent="0.25">
      <c r="C1292" s="38"/>
      <c r="D1292" s="38"/>
    </row>
    <row r="1293" spans="3:4" x14ac:dyDescent="0.25">
      <c r="C1293" s="38"/>
      <c r="D1293" s="38"/>
    </row>
    <row r="1294" spans="3:4" x14ac:dyDescent="0.25">
      <c r="C1294" s="38"/>
      <c r="D1294" s="38"/>
    </row>
    <row r="1295" spans="3:4" x14ac:dyDescent="0.25">
      <c r="C1295" s="38"/>
      <c r="D1295" s="38"/>
    </row>
    <row r="1296" spans="3:4" x14ac:dyDescent="0.25">
      <c r="C1296" s="38"/>
      <c r="D1296" s="38"/>
    </row>
    <row r="1297" spans="3:4" x14ac:dyDescent="0.25">
      <c r="C1297" s="38"/>
      <c r="D1297" s="38"/>
    </row>
    <row r="1298" spans="3:4" x14ac:dyDescent="0.25">
      <c r="C1298" s="38"/>
      <c r="D1298" s="38"/>
    </row>
    <row r="1299" spans="3:4" x14ac:dyDescent="0.25">
      <c r="C1299" s="38"/>
      <c r="D1299" s="38"/>
    </row>
    <row r="1300" spans="3:4" x14ac:dyDescent="0.25">
      <c r="C1300" s="38"/>
      <c r="D1300" s="38"/>
    </row>
    <row r="1301" spans="3:4" x14ac:dyDescent="0.25">
      <c r="C1301" s="38"/>
      <c r="D1301" s="38"/>
    </row>
    <row r="1302" spans="3:4" x14ac:dyDescent="0.25">
      <c r="C1302" s="38"/>
      <c r="D1302" s="38"/>
    </row>
    <row r="1303" spans="3:4" x14ac:dyDescent="0.25">
      <c r="C1303" s="38"/>
      <c r="D1303" s="38"/>
    </row>
    <row r="1304" spans="3:4" x14ac:dyDescent="0.25">
      <c r="C1304" s="38"/>
      <c r="D1304" s="38"/>
    </row>
    <row r="1305" spans="3:4" x14ac:dyDescent="0.25">
      <c r="C1305" s="38"/>
      <c r="D1305" s="38"/>
    </row>
    <row r="1306" spans="3:4" x14ac:dyDescent="0.25">
      <c r="C1306" s="38"/>
      <c r="D1306" s="38"/>
    </row>
    <row r="1307" spans="3:4" x14ac:dyDescent="0.25">
      <c r="C1307" s="38"/>
      <c r="D1307" s="38"/>
    </row>
    <row r="1308" spans="3:4" x14ac:dyDescent="0.25">
      <c r="C1308" s="38"/>
      <c r="D1308" s="38"/>
    </row>
    <row r="1309" spans="3:4" x14ac:dyDescent="0.25">
      <c r="C1309" s="38"/>
      <c r="D1309" s="38"/>
    </row>
    <row r="1310" spans="3:4" x14ac:dyDescent="0.25">
      <c r="C1310" s="38"/>
      <c r="D1310" s="38"/>
    </row>
    <row r="1311" spans="3:4" x14ac:dyDescent="0.25">
      <c r="C1311" s="38"/>
      <c r="D1311" s="38"/>
    </row>
    <row r="1312" spans="3:4" x14ac:dyDescent="0.25">
      <c r="C1312" s="38"/>
      <c r="D1312" s="38"/>
    </row>
    <row r="1313" spans="3:4" x14ac:dyDescent="0.25">
      <c r="C1313" s="38"/>
      <c r="D1313" s="38"/>
    </row>
    <row r="1314" spans="3:4" x14ac:dyDescent="0.25">
      <c r="C1314" s="38"/>
      <c r="D1314" s="38"/>
    </row>
    <row r="1315" spans="3:4" x14ac:dyDescent="0.25">
      <c r="C1315" s="38"/>
      <c r="D1315" s="38"/>
    </row>
    <row r="1316" spans="3:4" x14ac:dyDescent="0.25">
      <c r="C1316" s="38"/>
      <c r="D1316" s="38"/>
    </row>
    <row r="1317" spans="3:4" x14ac:dyDescent="0.25">
      <c r="C1317" s="38"/>
      <c r="D1317" s="38"/>
    </row>
    <row r="1318" spans="3:4" x14ac:dyDescent="0.25">
      <c r="C1318" s="38"/>
      <c r="D1318" s="38"/>
    </row>
    <row r="1319" spans="3:4" x14ac:dyDescent="0.25">
      <c r="C1319" s="38"/>
      <c r="D1319" s="38"/>
    </row>
    <row r="1320" spans="3:4" x14ac:dyDescent="0.25">
      <c r="C1320" s="38"/>
      <c r="D1320" s="38"/>
    </row>
    <row r="1321" spans="3:4" x14ac:dyDescent="0.25">
      <c r="C1321" s="38"/>
      <c r="D1321" s="38"/>
    </row>
    <row r="1322" spans="3:4" x14ac:dyDescent="0.25">
      <c r="C1322" s="38"/>
      <c r="D1322" s="38"/>
    </row>
    <row r="1323" spans="3:4" x14ac:dyDescent="0.25">
      <c r="C1323" s="38"/>
      <c r="D1323" s="38"/>
    </row>
    <row r="1324" spans="3:4" x14ac:dyDescent="0.25">
      <c r="C1324" s="38"/>
      <c r="D1324" s="38"/>
    </row>
    <row r="1325" spans="3:4" x14ac:dyDescent="0.25">
      <c r="C1325" s="38"/>
      <c r="D1325" s="38"/>
    </row>
    <row r="1326" spans="3:4" x14ac:dyDescent="0.25">
      <c r="C1326" s="38"/>
      <c r="D1326" s="38"/>
    </row>
    <row r="1327" spans="3:4" x14ac:dyDescent="0.25">
      <c r="C1327" s="38"/>
      <c r="D1327" s="38"/>
    </row>
    <row r="1328" spans="3:4" x14ac:dyDescent="0.25">
      <c r="C1328" s="38"/>
      <c r="D1328" s="38"/>
    </row>
    <row r="1329" spans="3:4" x14ac:dyDescent="0.25">
      <c r="C1329" s="38"/>
      <c r="D1329" s="38"/>
    </row>
    <row r="1330" spans="3:4" x14ac:dyDescent="0.25">
      <c r="C1330" s="38"/>
      <c r="D1330" s="38"/>
    </row>
    <row r="1331" spans="3:4" x14ac:dyDescent="0.25">
      <c r="C1331" s="38"/>
      <c r="D1331" s="38"/>
    </row>
    <row r="1332" spans="3:4" x14ac:dyDescent="0.25">
      <c r="C1332" s="38"/>
      <c r="D1332" s="38"/>
    </row>
    <row r="1333" spans="3:4" x14ac:dyDescent="0.25">
      <c r="C1333" s="38"/>
      <c r="D1333" s="38"/>
    </row>
    <row r="1334" spans="3:4" x14ac:dyDescent="0.25">
      <c r="C1334" s="38"/>
      <c r="D1334" s="38"/>
    </row>
    <row r="1335" spans="3:4" x14ac:dyDescent="0.25">
      <c r="C1335" s="38"/>
      <c r="D1335" s="38"/>
    </row>
    <row r="1336" spans="3:4" x14ac:dyDescent="0.25">
      <c r="C1336" s="38"/>
      <c r="D1336" s="38"/>
    </row>
    <row r="1337" spans="3:4" x14ac:dyDescent="0.25">
      <c r="C1337" s="38"/>
      <c r="D1337" s="38"/>
    </row>
    <row r="1338" spans="3:4" x14ac:dyDescent="0.25">
      <c r="C1338" s="38"/>
      <c r="D1338" s="38"/>
    </row>
    <row r="1339" spans="3:4" x14ac:dyDescent="0.25">
      <c r="C1339" s="38"/>
      <c r="D1339" s="38"/>
    </row>
    <row r="1340" spans="3:4" x14ac:dyDescent="0.25">
      <c r="C1340" s="38"/>
      <c r="D1340" s="38"/>
    </row>
    <row r="1341" spans="3:4" x14ac:dyDescent="0.25">
      <c r="C1341" s="38"/>
      <c r="D1341" s="38"/>
    </row>
    <row r="1342" spans="3:4" x14ac:dyDescent="0.25">
      <c r="C1342" s="38"/>
      <c r="D1342" s="38"/>
    </row>
    <row r="1343" spans="3:4" x14ac:dyDescent="0.25">
      <c r="C1343" s="38"/>
      <c r="D1343" s="38"/>
    </row>
    <row r="1344" spans="3:4" x14ac:dyDescent="0.25">
      <c r="C1344" s="38"/>
      <c r="D1344" s="38"/>
    </row>
    <row r="1345" spans="3:4" x14ac:dyDescent="0.25">
      <c r="C1345" s="38"/>
      <c r="D1345" s="38"/>
    </row>
    <row r="1346" spans="3:4" x14ac:dyDescent="0.25">
      <c r="C1346" s="38"/>
      <c r="D1346" s="38"/>
    </row>
    <row r="1347" spans="3:4" x14ac:dyDescent="0.25">
      <c r="C1347" s="38"/>
      <c r="D1347" s="38"/>
    </row>
    <row r="1348" spans="3:4" x14ac:dyDescent="0.25">
      <c r="C1348" s="38"/>
      <c r="D1348" s="38"/>
    </row>
    <row r="1349" spans="3:4" x14ac:dyDescent="0.25">
      <c r="C1349" s="38"/>
      <c r="D1349" s="38"/>
    </row>
    <row r="1350" spans="3:4" x14ac:dyDescent="0.25">
      <c r="C1350" s="38"/>
      <c r="D1350" s="38"/>
    </row>
    <row r="1351" spans="3:4" x14ac:dyDescent="0.25">
      <c r="C1351" s="38"/>
      <c r="D1351" s="38"/>
    </row>
    <row r="1352" spans="3:4" x14ac:dyDescent="0.25">
      <c r="C1352" s="38"/>
      <c r="D1352" s="38"/>
    </row>
    <row r="1353" spans="3:4" x14ac:dyDescent="0.25">
      <c r="C1353" s="38"/>
      <c r="D1353" s="38"/>
    </row>
    <row r="1354" spans="3:4" x14ac:dyDescent="0.25">
      <c r="C1354" s="38"/>
      <c r="D1354" s="38"/>
    </row>
    <row r="1355" spans="3:4" x14ac:dyDescent="0.25">
      <c r="C1355" s="38"/>
      <c r="D1355" s="38"/>
    </row>
    <row r="1356" spans="3:4" x14ac:dyDescent="0.25">
      <c r="C1356" s="38"/>
      <c r="D1356" s="38"/>
    </row>
    <row r="1357" spans="3:4" x14ac:dyDescent="0.25">
      <c r="C1357" s="38"/>
      <c r="D1357" s="38"/>
    </row>
    <row r="1358" spans="3:4" x14ac:dyDescent="0.25">
      <c r="C1358" s="38"/>
      <c r="D1358" s="38"/>
    </row>
    <row r="1359" spans="3:4" x14ac:dyDescent="0.25">
      <c r="C1359" s="38"/>
      <c r="D1359" s="38"/>
    </row>
    <row r="1360" spans="3:4" x14ac:dyDescent="0.25">
      <c r="C1360" s="38"/>
      <c r="D1360" s="38"/>
    </row>
    <row r="1361" spans="3:4" x14ac:dyDescent="0.25">
      <c r="C1361" s="38"/>
      <c r="D1361" s="38"/>
    </row>
    <row r="1362" spans="3:4" x14ac:dyDescent="0.25">
      <c r="C1362" s="38"/>
      <c r="D1362" s="38"/>
    </row>
    <row r="1363" spans="3:4" x14ac:dyDescent="0.25">
      <c r="C1363" s="38"/>
      <c r="D1363" s="38"/>
    </row>
    <row r="1364" spans="3:4" x14ac:dyDescent="0.25">
      <c r="C1364" s="38"/>
      <c r="D1364" s="38"/>
    </row>
    <row r="1365" spans="3:4" x14ac:dyDescent="0.25">
      <c r="C1365" s="38"/>
      <c r="D1365" s="38"/>
    </row>
    <row r="1366" spans="3:4" x14ac:dyDescent="0.25">
      <c r="C1366" s="38"/>
      <c r="D1366" s="38"/>
    </row>
    <row r="1367" spans="3:4" x14ac:dyDescent="0.25">
      <c r="C1367" s="38"/>
      <c r="D1367" s="38"/>
    </row>
    <row r="1368" spans="3:4" x14ac:dyDescent="0.25">
      <c r="C1368" s="38"/>
      <c r="D1368" s="38"/>
    </row>
    <row r="1369" spans="3:4" x14ac:dyDescent="0.25">
      <c r="C1369" s="38"/>
      <c r="D1369" s="38"/>
    </row>
    <row r="1370" spans="3:4" x14ac:dyDescent="0.25">
      <c r="C1370" s="38"/>
      <c r="D1370" s="38"/>
    </row>
    <row r="1371" spans="3:4" x14ac:dyDescent="0.25">
      <c r="C1371" s="38"/>
      <c r="D1371" s="38"/>
    </row>
    <row r="1372" spans="3:4" x14ac:dyDescent="0.25">
      <c r="C1372" s="38"/>
      <c r="D1372" s="38"/>
    </row>
    <row r="1373" spans="3:4" x14ac:dyDescent="0.25">
      <c r="C1373" s="38"/>
      <c r="D1373" s="38"/>
    </row>
    <row r="1374" spans="3:4" x14ac:dyDescent="0.25">
      <c r="C1374" s="38"/>
      <c r="D1374" s="38"/>
    </row>
    <row r="1375" spans="3:4" x14ac:dyDescent="0.25">
      <c r="C1375" s="38"/>
      <c r="D1375" s="38"/>
    </row>
    <row r="1376" spans="3:4" x14ac:dyDescent="0.25">
      <c r="C1376" s="38"/>
      <c r="D1376" s="38"/>
    </row>
    <row r="1377" spans="3:4" x14ac:dyDescent="0.25">
      <c r="C1377" s="38"/>
      <c r="D1377" s="38"/>
    </row>
    <row r="1378" spans="3:4" x14ac:dyDescent="0.25">
      <c r="C1378" s="38"/>
      <c r="D1378" s="38"/>
    </row>
    <row r="1379" spans="3:4" x14ac:dyDescent="0.25">
      <c r="C1379" s="38"/>
      <c r="D1379" s="38"/>
    </row>
    <row r="1380" spans="3:4" x14ac:dyDescent="0.25">
      <c r="C1380" s="38"/>
      <c r="D1380" s="38"/>
    </row>
    <row r="1381" spans="3:4" x14ac:dyDescent="0.25">
      <c r="C1381" s="38"/>
      <c r="D1381" s="38"/>
    </row>
    <row r="1382" spans="3:4" x14ac:dyDescent="0.25">
      <c r="C1382" s="38"/>
      <c r="D1382" s="38"/>
    </row>
    <row r="1383" spans="3:4" x14ac:dyDescent="0.25">
      <c r="C1383" s="38"/>
      <c r="D1383" s="38"/>
    </row>
    <row r="1384" spans="3:4" x14ac:dyDescent="0.25">
      <c r="C1384" s="38"/>
      <c r="D1384" s="38"/>
    </row>
    <row r="1385" spans="3:4" x14ac:dyDescent="0.25">
      <c r="C1385" s="38"/>
      <c r="D1385" s="38"/>
    </row>
    <row r="1386" spans="3:4" x14ac:dyDescent="0.25">
      <c r="C1386" s="38"/>
      <c r="D1386" s="38"/>
    </row>
    <row r="1387" spans="3:4" x14ac:dyDescent="0.25">
      <c r="C1387" s="38"/>
      <c r="D1387" s="38"/>
    </row>
    <row r="1388" spans="3:4" x14ac:dyDescent="0.25">
      <c r="C1388" s="38"/>
      <c r="D1388" s="38"/>
    </row>
    <row r="1389" spans="3:4" x14ac:dyDescent="0.25">
      <c r="C1389" s="38"/>
      <c r="D1389" s="38"/>
    </row>
    <row r="1390" spans="3:4" x14ac:dyDescent="0.25">
      <c r="C1390" s="38"/>
      <c r="D1390" s="38"/>
    </row>
    <row r="1391" spans="3:4" x14ac:dyDescent="0.25">
      <c r="C1391" s="38"/>
      <c r="D1391" s="38"/>
    </row>
    <row r="1392" spans="3:4" x14ac:dyDescent="0.25">
      <c r="C1392" s="38"/>
      <c r="D1392" s="38"/>
    </row>
    <row r="1393" spans="3:4" x14ac:dyDescent="0.25">
      <c r="C1393" s="38"/>
      <c r="D1393" s="38"/>
    </row>
    <row r="1394" spans="3:4" x14ac:dyDescent="0.25">
      <c r="C1394" s="38"/>
      <c r="D1394" s="38"/>
    </row>
    <row r="1395" spans="3:4" x14ac:dyDescent="0.25">
      <c r="C1395" s="38"/>
      <c r="D1395" s="38"/>
    </row>
    <row r="1396" spans="3:4" x14ac:dyDescent="0.25">
      <c r="C1396" s="38"/>
      <c r="D1396" s="38"/>
    </row>
    <row r="1397" spans="3:4" x14ac:dyDescent="0.25">
      <c r="C1397" s="38"/>
      <c r="D1397" s="38"/>
    </row>
    <row r="1398" spans="3:4" x14ac:dyDescent="0.25">
      <c r="C1398" s="38"/>
      <c r="D1398" s="38"/>
    </row>
    <row r="1399" spans="3:4" x14ac:dyDescent="0.25">
      <c r="C1399" s="38"/>
      <c r="D1399" s="38"/>
    </row>
    <row r="1400" spans="3:4" x14ac:dyDescent="0.25">
      <c r="C1400" s="38"/>
      <c r="D1400" s="38"/>
    </row>
    <row r="1401" spans="3:4" x14ac:dyDescent="0.25">
      <c r="C1401" s="38"/>
      <c r="D1401" s="38"/>
    </row>
    <row r="1402" spans="3:4" x14ac:dyDescent="0.25">
      <c r="C1402" s="38"/>
      <c r="D1402" s="38"/>
    </row>
    <row r="1403" spans="3:4" x14ac:dyDescent="0.25">
      <c r="C1403" s="38"/>
      <c r="D1403" s="38"/>
    </row>
    <row r="1404" spans="3:4" x14ac:dyDescent="0.25">
      <c r="C1404" s="38"/>
      <c r="D1404" s="38"/>
    </row>
    <row r="1405" spans="3:4" x14ac:dyDescent="0.25">
      <c r="C1405" s="38"/>
      <c r="D1405" s="38"/>
    </row>
    <row r="1406" spans="3:4" x14ac:dyDescent="0.25">
      <c r="C1406" s="38"/>
      <c r="D1406" s="38"/>
    </row>
    <row r="1407" spans="3:4" x14ac:dyDescent="0.25">
      <c r="C1407" s="38"/>
      <c r="D1407" s="38"/>
    </row>
    <row r="1408" spans="3:4" x14ac:dyDescent="0.25">
      <c r="C1408" s="38"/>
      <c r="D1408" s="38"/>
    </row>
    <row r="1409" spans="3:4" x14ac:dyDescent="0.25">
      <c r="C1409" s="38"/>
      <c r="D1409" s="38"/>
    </row>
    <row r="1410" spans="3:4" x14ac:dyDescent="0.25">
      <c r="C1410" s="38"/>
      <c r="D1410" s="38"/>
    </row>
    <row r="1411" spans="3:4" x14ac:dyDescent="0.25">
      <c r="C1411" s="38"/>
      <c r="D1411" s="38"/>
    </row>
    <row r="1412" spans="3:4" x14ac:dyDescent="0.25">
      <c r="C1412" s="38"/>
      <c r="D1412" s="38"/>
    </row>
    <row r="1413" spans="3:4" x14ac:dyDescent="0.25">
      <c r="C1413" s="38"/>
      <c r="D1413" s="38"/>
    </row>
    <row r="1414" spans="3:4" x14ac:dyDescent="0.25">
      <c r="C1414" s="38"/>
      <c r="D1414" s="38"/>
    </row>
    <row r="1415" spans="3:4" x14ac:dyDescent="0.25">
      <c r="C1415" s="38"/>
      <c r="D1415" s="38"/>
    </row>
    <row r="1416" spans="3:4" x14ac:dyDescent="0.25">
      <c r="C1416" s="38"/>
      <c r="D1416" s="38"/>
    </row>
    <row r="1417" spans="3:4" x14ac:dyDescent="0.25">
      <c r="C1417" s="38"/>
      <c r="D1417" s="38"/>
    </row>
    <row r="1418" spans="3:4" x14ac:dyDescent="0.25">
      <c r="C1418" s="38"/>
      <c r="D1418" s="38"/>
    </row>
    <row r="1419" spans="3:4" x14ac:dyDescent="0.25">
      <c r="C1419" s="38"/>
      <c r="D1419" s="38"/>
    </row>
    <row r="1420" spans="3:4" x14ac:dyDescent="0.25">
      <c r="C1420" s="38"/>
      <c r="D1420" s="38"/>
    </row>
    <row r="1421" spans="3:4" x14ac:dyDescent="0.25">
      <c r="C1421" s="38"/>
      <c r="D1421" s="38"/>
    </row>
    <row r="1422" spans="3:4" x14ac:dyDescent="0.25">
      <c r="C1422" s="38"/>
      <c r="D1422" s="38"/>
    </row>
    <row r="1423" spans="3:4" x14ac:dyDescent="0.25">
      <c r="C1423" s="38"/>
      <c r="D1423" s="38"/>
    </row>
    <row r="1424" spans="3:4" x14ac:dyDescent="0.25">
      <c r="C1424" s="38"/>
      <c r="D1424" s="38"/>
    </row>
    <row r="1425" spans="3:4" x14ac:dyDescent="0.25">
      <c r="C1425" s="38"/>
      <c r="D1425" s="38"/>
    </row>
    <row r="1426" spans="3:4" x14ac:dyDescent="0.25">
      <c r="C1426" s="38"/>
      <c r="D1426" s="38"/>
    </row>
    <row r="1427" spans="3:4" x14ac:dyDescent="0.25">
      <c r="C1427" s="38"/>
      <c r="D1427" s="38"/>
    </row>
    <row r="1428" spans="3:4" x14ac:dyDescent="0.25">
      <c r="C1428" s="38"/>
      <c r="D1428" s="38"/>
    </row>
    <row r="1429" spans="3:4" x14ac:dyDescent="0.25">
      <c r="C1429" s="38"/>
      <c r="D1429" s="38"/>
    </row>
    <row r="1430" spans="3:4" x14ac:dyDescent="0.25">
      <c r="C1430" s="38"/>
      <c r="D1430" s="38"/>
    </row>
    <row r="1431" spans="3:4" x14ac:dyDescent="0.25">
      <c r="C1431" s="38"/>
      <c r="D1431" s="38"/>
    </row>
    <row r="1432" spans="3:4" x14ac:dyDescent="0.25">
      <c r="C1432" s="38"/>
      <c r="D1432" s="38"/>
    </row>
    <row r="1433" spans="3:4" x14ac:dyDescent="0.25">
      <c r="C1433" s="38"/>
      <c r="D1433" s="38"/>
    </row>
    <row r="1434" spans="3:4" x14ac:dyDescent="0.25">
      <c r="C1434" s="38"/>
      <c r="D1434" s="38"/>
    </row>
    <row r="1435" spans="3:4" x14ac:dyDescent="0.25">
      <c r="C1435" s="38"/>
      <c r="D1435" s="38"/>
    </row>
    <row r="1436" spans="3:4" x14ac:dyDescent="0.25">
      <c r="C1436" s="38"/>
      <c r="D1436" s="38"/>
    </row>
    <row r="1437" spans="3:4" x14ac:dyDescent="0.25">
      <c r="C1437" s="38"/>
      <c r="D1437" s="38"/>
    </row>
    <row r="1438" spans="3:4" x14ac:dyDescent="0.25">
      <c r="C1438" s="38"/>
      <c r="D1438" s="38"/>
    </row>
    <row r="1439" spans="3:4" x14ac:dyDescent="0.25">
      <c r="C1439" s="38"/>
      <c r="D1439" s="38"/>
    </row>
    <row r="1440" spans="3:4" x14ac:dyDescent="0.25">
      <c r="C1440" s="38"/>
      <c r="D1440" s="38"/>
    </row>
    <row r="1441" spans="3:4" x14ac:dyDescent="0.25">
      <c r="C1441" s="38"/>
      <c r="D1441" s="38"/>
    </row>
    <row r="1442" spans="3:4" x14ac:dyDescent="0.25">
      <c r="C1442" s="38"/>
      <c r="D1442" s="38"/>
    </row>
    <row r="1443" spans="3:4" x14ac:dyDescent="0.25">
      <c r="C1443" s="38"/>
      <c r="D1443" s="38"/>
    </row>
    <row r="1444" spans="3:4" x14ac:dyDescent="0.25">
      <c r="C1444" s="38"/>
      <c r="D1444" s="38"/>
    </row>
    <row r="1445" spans="3:4" x14ac:dyDescent="0.25">
      <c r="C1445" s="38"/>
      <c r="D1445" s="38"/>
    </row>
    <row r="1446" spans="3:4" x14ac:dyDescent="0.25">
      <c r="C1446" s="38"/>
      <c r="D1446" s="38"/>
    </row>
    <row r="1447" spans="3:4" x14ac:dyDescent="0.25">
      <c r="C1447" s="38"/>
      <c r="D1447" s="38"/>
    </row>
    <row r="1448" spans="3:4" x14ac:dyDescent="0.25">
      <c r="C1448" s="38"/>
      <c r="D1448" s="38"/>
    </row>
    <row r="1449" spans="3:4" x14ac:dyDescent="0.25">
      <c r="C1449" s="38"/>
      <c r="D1449" s="38"/>
    </row>
    <row r="1450" spans="3:4" x14ac:dyDescent="0.25">
      <c r="C1450" s="38"/>
      <c r="D1450" s="38"/>
    </row>
    <row r="1451" spans="3:4" x14ac:dyDescent="0.25">
      <c r="C1451" s="38"/>
      <c r="D1451" s="38"/>
    </row>
    <row r="1452" spans="3:4" x14ac:dyDescent="0.25">
      <c r="C1452" s="38"/>
      <c r="D1452" s="38"/>
    </row>
    <row r="1453" spans="3:4" x14ac:dyDescent="0.25">
      <c r="C1453" s="38"/>
      <c r="D1453" s="38"/>
    </row>
    <row r="1454" spans="3:4" x14ac:dyDescent="0.25">
      <c r="C1454" s="38"/>
      <c r="D1454" s="38"/>
    </row>
    <row r="1455" spans="3:4" x14ac:dyDescent="0.25">
      <c r="C1455" s="38"/>
      <c r="D1455" s="38"/>
    </row>
    <row r="1456" spans="3:4" x14ac:dyDescent="0.25">
      <c r="C1456" s="38"/>
      <c r="D1456" s="38"/>
    </row>
    <row r="1457" spans="3:4" x14ac:dyDescent="0.25">
      <c r="C1457" s="38"/>
      <c r="D1457" s="38"/>
    </row>
    <row r="1458" spans="3:4" x14ac:dyDescent="0.25">
      <c r="C1458" s="38"/>
      <c r="D1458" s="38"/>
    </row>
    <row r="1459" spans="3:4" x14ac:dyDescent="0.25">
      <c r="C1459" s="38"/>
      <c r="D1459" s="38"/>
    </row>
    <row r="1460" spans="3:4" x14ac:dyDescent="0.25">
      <c r="C1460" s="38"/>
      <c r="D1460" s="38"/>
    </row>
    <row r="1461" spans="3:4" x14ac:dyDescent="0.25">
      <c r="C1461" s="38"/>
      <c r="D1461" s="38"/>
    </row>
    <row r="1462" spans="3:4" x14ac:dyDescent="0.25">
      <c r="C1462" s="38"/>
      <c r="D1462" s="38"/>
    </row>
    <row r="1463" spans="3:4" x14ac:dyDescent="0.25">
      <c r="C1463" s="38"/>
      <c r="D1463" s="38"/>
    </row>
    <row r="1464" spans="3:4" x14ac:dyDescent="0.25">
      <c r="C1464" s="38"/>
      <c r="D1464" s="38"/>
    </row>
    <row r="1465" spans="3:4" x14ac:dyDescent="0.25">
      <c r="C1465" s="38"/>
      <c r="D1465" s="38"/>
    </row>
    <row r="1466" spans="3:4" x14ac:dyDescent="0.25">
      <c r="C1466" s="38"/>
      <c r="D1466" s="38"/>
    </row>
    <row r="1467" spans="3:4" x14ac:dyDescent="0.25">
      <c r="C1467" s="38"/>
      <c r="D1467" s="38"/>
    </row>
    <row r="1468" spans="3:4" x14ac:dyDescent="0.25">
      <c r="C1468" s="38"/>
      <c r="D1468" s="38"/>
    </row>
    <row r="1469" spans="3:4" x14ac:dyDescent="0.25">
      <c r="C1469" s="38"/>
      <c r="D1469" s="38"/>
    </row>
    <row r="1470" spans="3:4" x14ac:dyDescent="0.25">
      <c r="C1470" s="38"/>
      <c r="D1470" s="38"/>
    </row>
    <row r="1471" spans="3:4" x14ac:dyDescent="0.25">
      <c r="C1471" s="38"/>
      <c r="D1471" s="38"/>
    </row>
    <row r="1472" spans="3:4" x14ac:dyDescent="0.25">
      <c r="C1472" s="38"/>
      <c r="D1472" s="38"/>
    </row>
    <row r="1473" spans="3:4" x14ac:dyDescent="0.25">
      <c r="C1473" s="38"/>
      <c r="D1473" s="38"/>
    </row>
    <row r="1474" spans="3:4" x14ac:dyDescent="0.25">
      <c r="C1474" s="38"/>
      <c r="D1474" s="38"/>
    </row>
    <row r="1475" spans="3:4" x14ac:dyDescent="0.25">
      <c r="C1475" s="38"/>
      <c r="D1475" s="38"/>
    </row>
    <row r="1476" spans="3:4" x14ac:dyDescent="0.25">
      <c r="C1476" s="38"/>
      <c r="D1476" s="38"/>
    </row>
    <row r="1477" spans="3:4" x14ac:dyDescent="0.25">
      <c r="C1477" s="38"/>
      <c r="D1477" s="38"/>
    </row>
    <row r="1478" spans="3:4" x14ac:dyDescent="0.25">
      <c r="C1478" s="38"/>
      <c r="D1478" s="38"/>
    </row>
    <row r="1479" spans="3:4" x14ac:dyDescent="0.25">
      <c r="C1479" s="38"/>
      <c r="D1479" s="38"/>
    </row>
    <row r="1480" spans="3:4" x14ac:dyDescent="0.25">
      <c r="C1480" s="38"/>
      <c r="D1480" s="38"/>
    </row>
    <row r="1481" spans="3:4" x14ac:dyDescent="0.25">
      <c r="C1481" s="38"/>
      <c r="D1481" s="38"/>
    </row>
    <row r="1482" spans="3:4" x14ac:dyDescent="0.25">
      <c r="C1482" s="38"/>
      <c r="D1482" s="38"/>
    </row>
    <row r="1483" spans="3:4" x14ac:dyDescent="0.25">
      <c r="C1483" s="38"/>
      <c r="D1483" s="38"/>
    </row>
    <row r="1484" spans="3:4" x14ac:dyDescent="0.25">
      <c r="C1484" s="38"/>
      <c r="D1484" s="38"/>
    </row>
    <row r="1485" spans="3:4" x14ac:dyDescent="0.25">
      <c r="C1485" s="38"/>
      <c r="D1485" s="38"/>
    </row>
    <row r="1486" spans="3:4" x14ac:dyDescent="0.25">
      <c r="C1486" s="38"/>
      <c r="D1486" s="38"/>
    </row>
    <row r="1487" spans="3:4" x14ac:dyDescent="0.25">
      <c r="C1487" s="38"/>
      <c r="D1487" s="38"/>
    </row>
    <row r="1488" spans="3:4" x14ac:dyDescent="0.25">
      <c r="C1488" s="38"/>
      <c r="D1488" s="38"/>
    </row>
    <row r="1489" spans="3:4" x14ac:dyDescent="0.25">
      <c r="C1489" s="38"/>
      <c r="D1489" s="38"/>
    </row>
    <row r="1490" spans="3:4" x14ac:dyDescent="0.25">
      <c r="C1490" s="38"/>
      <c r="D1490" s="38"/>
    </row>
    <row r="1491" spans="3:4" x14ac:dyDescent="0.25">
      <c r="C1491" s="38"/>
      <c r="D1491" s="38"/>
    </row>
    <row r="1492" spans="3:4" x14ac:dyDescent="0.25">
      <c r="C1492" s="38"/>
      <c r="D1492" s="38"/>
    </row>
    <row r="1493" spans="3:4" x14ac:dyDescent="0.25">
      <c r="C1493" s="38"/>
      <c r="D1493" s="38"/>
    </row>
    <row r="1494" spans="3:4" x14ac:dyDescent="0.25">
      <c r="C1494" s="38"/>
      <c r="D1494" s="38"/>
    </row>
    <row r="1495" spans="3:4" x14ac:dyDescent="0.25">
      <c r="C1495" s="38"/>
      <c r="D1495" s="38"/>
    </row>
    <row r="1496" spans="3:4" x14ac:dyDescent="0.25">
      <c r="C1496" s="38"/>
      <c r="D1496" s="38"/>
    </row>
    <row r="1497" spans="3:4" x14ac:dyDescent="0.25">
      <c r="C1497" s="38"/>
      <c r="D1497" s="38"/>
    </row>
    <row r="1498" spans="3:4" x14ac:dyDescent="0.25">
      <c r="C1498" s="38"/>
      <c r="D1498" s="38"/>
    </row>
    <row r="1499" spans="3:4" x14ac:dyDescent="0.25">
      <c r="C1499" s="38"/>
      <c r="D1499" s="38"/>
    </row>
    <row r="1500" spans="3:4" x14ac:dyDescent="0.25">
      <c r="C1500" s="38"/>
      <c r="D1500" s="38"/>
    </row>
    <row r="1501" spans="3:4" x14ac:dyDescent="0.25">
      <c r="C1501" s="38"/>
      <c r="D1501" s="38"/>
    </row>
    <row r="1502" spans="3:4" x14ac:dyDescent="0.25">
      <c r="C1502" s="38"/>
      <c r="D1502" s="38"/>
    </row>
    <row r="1503" spans="3:4" x14ac:dyDescent="0.25">
      <c r="C1503" s="38"/>
      <c r="D1503" s="38"/>
    </row>
    <row r="1504" spans="3:4" x14ac:dyDescent="0.25">
      <c r="C1504" s="38"/>
      <c r="D1504" s="38"/>
    </row>
    <row r="1505" spans="3:4" x14ac:dyDescent="0.25">
      <c r="C1505" s="38"/>
      <c r="D1505" s="38"/>
    </row>
    <row r="1506" spans="3:4" x14ac:dyDescent="0.25">
      <c r="C1506" s="38"/>
      <c r="D1506" s="38"/>
    </row>
    <row r="1507" spans="3:4" x14ac:dyDescent="0.25">
      <c r="C1507" s="38"/>
      <c r="D1507" s="38"/>
    </row>
    <row r="1508" spans="3:4" x14ac:dyDescent="0.25">
      <c r="C1508" s="38"/>
      <c r="D1508" s="38"/>
    </row>
    <row r="1509" spans="3:4" x14ac:dyDescent="0.25">
      <c r="C1509" s="38"/>
      <c r="D1509" s="38"/>
    </row>
    <row r="1510" spans="3:4" x14ac:dyDescent="0.25">
      <c r="C1510" s="38"/>
      <c r="D1510" s="38"/>
    </row>
    <row r="1511" spans="3:4" x14ac:dyDescent="0.25">
      <c r="C1511" s="38"/>
      <c r="D1511" s="38"/>
    </row>
    <row r="1512" spans="3:4" x14ac:dyDescent="0.25">
      <c r="C1512" s="38"/>
      <c r="D1512" s="38"/>
    </row>
    <row r="1513" spans="3:4" x14ac:dyDescent="0.25">
      <c r="C1513" s="38"/>
      <c r="D1513" s="38"/>
    </row>
    <row r="1514" spans="3:4" x14ac:dyDescent="0.25">
      <c r="C1514" s="38"/>
      <c r="D1514" s="38"/>
    </row>
    <row r="1515" spans="3:4" x14ac:dyDescent="0.25">
      <c r="C1515" s="38"/>
      <c r="D1515" s="38"/>
    </row>
    <row r="1516" spans="3:4" x14ac:dyDescent="0.25">
      <c r="C1516" s="38"/>
      <c r="D1516" s="38"/>
    </row>
    <row r="1517" spans="3:4" x14ac:dyDescent="0.25">
      <c r="C1517" s="38"/>
      <c r="D1517" s="38"/>
    </row>
    <row r="1518" spans="3:4" x14ac:dyDescent="0.25">
      <c r="C1518" s="38"/>
      <c r="D1518" s="38"/>
    </row>
    <row r="1519" spans="3:4" x14ac:dyDescent="0.25">
      <c r="C1519" s="38"/>
      <c r="D1519" s="38"/>
    </row>
    <row r="1520" spans="3:4" x14ac:dyDescent="0.25">
      <c r="C1520" s="38"/>
      <c r="D1520" s="38"/>
    </row>
    <row r="1521" spans="3:4" x14ac:dyDescent="0.25">
      <c r="C1521" s="38"/>
      <c r="D1521" s="38"/>
    </row>
    <row r="1522" spans="3:4" x14ac:dyDescent="0.25">
      <c r="C1522" s="38"/>
      <c r="D1522" s="38"/>
    </row>
    <row r="1523" spans="3:4" x14ac:dyDescent="0.25">
      <c r="C1523" s="38"/>
      <c r="D1523" s="38"/>
    </row>
    <row r="1524" spans="3:4" x14ac:dyDescent="0.25">
      <c r="C1524" s="38"/>
      <c r="D1524" s="38"/>
    </row>
    <row r="1525" spans="3:4" x14ac:dyDescent="0.25">
      <c r="C1525" s="38"/>
      <c r="D1525" s="38"/>
    </row>
    <row r="1526" spans="3:4" x14ac:dyDescent="0.25">
      <c r="C1526" s="38"/>
      <c r="D1526" s="38"/>
    </row>
    <row r="1527" spans="3:4" x14ac:dyDescent="0.25">
      <c r="C1527" s="38"/>
      <c r="D1527" s="38"/>
    </row>
    <row r="1528" spans="3:4" x14ac:dyDescent="0.25">
      <c r="C1528" s="38"/>
      <c r="D1528" s="38"/>
    </row>
    <row r="1529" spans="3:4" x14ac:dyDescent="0.25">
      <c r="C1529" s="38"/>
      <c r="D1529" s="38"/>
    </row>
    <row r="1530" spans="3:4" x14ac:dyDescent="0.25">
      <c r="C1530" s="38"/>
      <c r="D1530" s="38"/>
    </row>
    <row r="1531" spans="3:4" x14ac:dyDescent="0.25">
      <c r="C1531" s="38"/>
      <c r="D1531" s="38"/>
    </row>
    <row r="1532" spans="3:4" x14ac:dyDescent="0.25">
      <c r="C1532" s="38"/>
      <c r="D1532" s="38"/>
    </row>
    <row r="1533" spans="3:4" x14ac:dyDescent="0.25">
      <c r="C1533" s="38"/>
      <c r="D1533" s="38"/>
    </row>
    <row r="1534" spans="3:4" x14ac:dyDescent="0.25">
      <c r="C1534" s="38"/>
      <c r="D1534" s="38"/>
    </row>
    <row r="1535" spans="3:4" x14ac:dyDescent="0.25">
      <c r="C1535" s="38"/>
      <c r="D1535" s="38"/>
    </row>
    <row r="1536" spans="3:4" x14ac:dyDescent="0.25">
      <c r="C1536" s="38"/>
      <c r="D1536" s="38"/>
    </row>
    <row r="1537" spans="3:4" x14ac:dyDescent="0.25">
      <c r="C1537" s="38"/>
      <c r="D1537" s="38"/>
    </row>
    <row r="1538" spans="3:4" x14ac:dyDescent="0.25">
      <c r="C1538" s="38"/>
      <c r="D1538" s="38"/>
    </row>
    <row r="1539" spans="3:4" x14ac:dyDescent="0.25">
      <c r="C1539" s="38"/>
      <c r="D1539" s="38"/>
    </row>
    <row r="1540" spans="3:4" x14ac:dyDescent="0.25">
      <c r="C1540" s="38"/>
      <c r="D1540" s="38"/>
    </row>
    <row r="1541" spans="3:4" x14ac:dyDescent="0.25">
      <c r="C1541" s="38"/>
      <c r="D1541" s="38"/>
    </row>
    <row r="1542" spans="3:4" x14ac:dyDescent="0.25">
      <c r="C1542" s="38"/>
      <c r="D1542" s="38"/>
    </row>
    <row r="1543" spans="3:4" x14ac:dyDescent="0.25">
      <c r="C1543" s="38"/>
      <c r="D1543" s="38"/>
    </row>
    <row r="1544" spans="3:4" x14ac:dyDescent="0.25">
      <c r="C1544" s="38"/>
      <c r="D1544" s="38"/>
    </row>
    <row r="1545" spans="3:4" x14ac:dyDescent="0.25">
      <c r="C1545" s="38"/>
      <c r="D1545" s="38"/>
    </row>
    <row r="1546" spans="3:4" x14ac:dyDescent="0.25">
      <c r="C1546" s="38"/>
      <c r="D1546" s="38"/>
    </row>
    <row r="1547" spans="3:4" x14ac:dyDescent="0.25">
      <c r="C1547" s="38"/>
      <c r="D1547" s="38"/>
    </row>
    <row r="1548" spans="3:4" x14ac:dyDescent="0.25">
      <c r="C1548" s="38"/>
      <c r="D1548" s="38"/>
    </row>
    <row r="1549" spans="3:4" x14ac:dyDescent="0.25">
      <c r="C1549" s="38"/>
      <c r="D1549" s="38"/>
    </row>
    <row r="1550" spans="3:4" x14ac:dyDescent="0.25">
      <c r="C1550" s="38"/>
      <c r="D1550" s="38"/>
    </row>
    <row r="1551" spans="3:4" x14ac:dyDescent="0.25">
      <c r="C1551" s="38"/>
      <c r="D1551" s="38"/>
    </row>
    <row r="1552" spans="3:4" x14ac:dyDescent="0.25">
      <c r="C1552" s="38"/>
      <c r="D1552" s="38"/>
    </row>
    <row r="1553" spans="3:4" x14ac:dyDescent="0.25">
      <c r="C1553" s="38"/>
      <c r="D1553" s="38"/>
    </row>
    <row r="1554" spans="3:4" x14ac:dyDescent="0.25">
      <c r="C1554" s="38"/>
      <c r="D1554" s="38"/>
    </row>
    <row r="1555" spans="3:4" x14ac:dyDescent="0.25">
      <c r="C1555" s="38"/>
      <c r="D1555" s="38"/>
    </row>
    <row r="1556" spans="3:4" x14ac:dyDescent="0.25">
      <c r="C1556" s="38"/>
      <c r="D1556" s="38"/>
    </row>
    <row r="1557" spans="3:4" x14ac:dyDescent="0.25">
      <c r="C1557" s="38"/>
      <c r="D1557" s="38"/>
    </row>
    <row r="1558" spans="3:4" x14ac:dyDescent="0.25">
      <c r="C1558" s="38"/>
      <c r="D1558" s="38"/>
    </row>
    <row r="1559" spans="3:4" x14ac:dyDescent="0.25">
      <c r="C1559" s="38"/>
      <c r="D1559" s="38"/>
    </row>
    <row r="1560" spans="3:4" x14ac:dyDescent="0.25">
      <c r="C1560" s="38"/>
      <c r="D1560" s="38"/>
    </row>
    <row r="1561" spans="3:4" x14ac:dyDescent="0.25">
      <c r="C1561" s="38"/>
      <c r="D1561" s="38"/>
    </row>
    <row r="1562" spans="3:4" x14ac:dyDescent="0.25">
      <c r="C1562" s="38"/>
      <c r="D1562" s="38"/>
    </row>
    <row r="1563" spans="3:4" x14ac:dyDescent="0.25">
      <c r="C1563" s="38"/>
      <c r="D1563" s="38"/>
    </row>
    <row r="1564" spans="3:4" x14ac:dyDescent="0.25">
      <c r="C1564" s="38"/>
      <c r="D1564" s="38"/>
    </row>
    <row r="1565" spans="3:4" x14ac:dyDescent="0.25">
      <c r="C1565" s="38"/>
      <c r="D1565" s="38"/>
    </row>
    <row r="1566" spans="3:4" x14ac:dyDescent="0.25">
      <c r="C1566" s="38"/>
      <c r="D1566" s="38"/>
    </row>
    <row r="1567" spans="3:4" x14ac:dyDescent="0.25">
      <c r="C1567" s="38"/>
      <c r="D1567" s="38"/>
    </row>
    <row r="1568" spans="3:4" x14ac:dyDescent="0.25">
      <c r="C1568" s="38"/>
      <c r="D1568" s="38"/>
    </row>
    <row r="1569" spans="3:4" x14ac:dyDescent="0.25">
      <c r="C1569" s="38"/>
      <c r="D1569" s="38"/>
    </row>
    <row r="1570" spans="3:4" x14ac:dyDescent="0.25">
      <c r="C1570" s="38"/>
      <c r="D1570" s="38"/>
    </row>
    <row r="1571" spans="3:4" x14ac:dyDescent="0.25">
      <c r="C1571" s="38"/>
      <c r="D1571" s="38"/>
    </row>
    <row r="1572" spans="3:4" x14ac:dyDescent="0.25">
      <c r="C1572" s="38"/>
      <c r="D1572" s="38"/>
    </row>
    <row r="1573" spans="3:4" x14ac:dyDescent="0.25">
      <c r="C1573" s="38"/>
      <c r="D1573" s="38"/>
    </row>
    <row r="1574" spans="3:4" x14ac:dyDescent="0.25">
      <c r="C1574" s="38"/>
      <c r="D1574" s="38"/>
    </row>
    <row r="1575" spans="3:4" x14ac:dyDescent="0.25">
      <c r="C1575" s="38"/>
      <c r="D1575" s="38"/>
    </row>
    <row r="1576" spans="3:4" x14ac:dyDescent="0.25">
      <c r="C1576" s="38"/>
      <c r="D1576" s="38"/>
    </row>
    <row r="1577" spans="3:4" x14ac:dyDescent="0.25">
      <c r="C1577" s="38"/>
      <c r="D1577" s="38"/>
    </row>
    <row r="1578" spans="3:4" x14ac:dyDescent="0.25">
      <c r="C1578" s="38"/>
      <c r="D1578" s="38"/>
    </row>
    <row r="1579" spans="3:4" x14ac:dyDescent="0.25">
      <c r="C1579" s="38"/>
      <c r="D1579" s="38"/>
    </row>
    <row r="1580" spans="3:4" x14ac:dyDescent="0.25">
      <c r="C1580" s="38"/>
      <c r="D1580" s="38"/>
    </row>
    <row r="1581" spans="3:4" x14ac:dyDescent="0.25">
      <c r="C1581" s="38"/>
      <c r="D1581" s="38"/>
    </row>
    <row r="1582" spans="3:4" x14ac:dyDescent="0.25">
      <c r="C1582" s="38"/>
      <c r="D1582" s="38"/>
    </row>
    <row r="1583" spans="3:4" x14ac:dyDescent="0.25">
      <c r="C1583" s="38"/>
      <c r="D1583" s="38"/>
    </row>
    <row r="1584" spans="3:4" x14ac:dyDescent="0.25">
      <c r="C1584" s="38"/>
      <c r="D1584" s="38"/>
    </row>
    <row r="1585" spans="3:4" x14ac:dyDescent="0.25">
      <c r="C1585" s="38"/>
      <c r="D1585" s="38"/>
    </row>
    <row r="1586" spans="3:4" x14ac:dyDescent="0.25">
      <c r="C1586" s="38"/>
      <c r="D1586" s="38"/>
    </row>
    <row r="1587" spans="3:4" x14ac:dyDescent="0.25">
      <c r="C1587" s="38"/>
      <c r="D1587" s="38"/>
    </row>
    <row r="1588" spans="3:4" x14ac:dyDescent="0.25">
      <c r="C1588" s="38"/>
      <c r="D1588" s="38"/>
    </row>
    <row r="1589" spans="3:4" x14ac:dyDescent="0.25">
      <c r="C1589" s="38"/>
      <c r="D1589" s="38"/>
    </row>
    <row r="1590" spans="3:4" x14ac:dyDescent="0.25">
      <c r="C1590" s="38"/>
      <c r="D1590" s="38"/>
    </row>
    <row r="1591" spans="3:4" x14ac:dyDescent="0.25">
      <c r="C1591" s="38"/>
      <c r="D1591" s="38"/>
    </row>
    <row r="1592" spans="3:4" x14ac:dyDescent="0.25">
      <c r="C1592" s="38"/>
      <c r="D1592" s="38"/>
    </row>
    <row r="1593" spans="3:4" x14ac:dyDescent="0.25">
      <c r="C1593" s="38"/>
      <c r="D1593" s="38"/>
    </row>
    <row r="1594" spans="3:4" x14ac:dyDescent="0.25">
      <c r="C1594" s="38"/>
      <c r="D1594" s="38"/>
    </row>
    <row r="1595" spans="3:4" x14ac:dyDescent="0.25">
      <c r="C1595" s="38"/>
      <c r="D1595" s="38"/>
    </row>
    <row r="1596" spans="3:4" x14ac:dyDescent="0.25">
      <c r="C1596" s="38"/>
      <c r="D1596" s="38"/>
    </row>
    <row r="1597" spans="3:4" x14ac:dyDescent="0.25">
      <c r="C1597" s="38"/>
      <c r="D1597" s="38"/>
    </row>
    <row r="1598" spans="3:4" x14ac:dyDescent="0.25">
      <c r="C1598" s="38"/>
      <c r="D1598" s="38"/>
    </row>
    <row r="1599" spans="3:4" x14ac:dyDescent="0.25">
      <c r="C1599" s="38"/>
      <c r="D1599" s="38"/>
    </row>
    <row r="1600" spans="3:4" x14ac:dyDescent="0.25">
      <c r="C1600" s="38"/>
      <c r="D1600" s="38"/>
    </row>
    <row r="1601" spans="3:4" x14ac:dyDescent="0.25">
      <c r="C1601" s="38"/>
      <c r="D1601" s="38"/>
    </row>
    <row r="1602" spans="3:4" x14ac:dyDescent="0.25">
      <c r="C1602" s="38"/>
      <c r="D1602" s="38"/>
    </row>
    <row r="1603" spans="3:4" x14ac:dyDescent="0.25">
      <c r="C1603" s="38"/>
      <c r="D1603" s="38"/>
    </row>
    <row r="1604" spans="3:4" x14ac:dyDescent="0.25">
      <c r="C1604" s="38"/>
      <c r="D1604" s="38"/>
    </row>
    <row r="1605" spans="3:4" x14ac:dyDescent="0.25">
      <c r="C1605" s="38"/>
      <c r="D1605" s="38"/>
    </row>
    <row r="1606" spans="3:4" x14ac:dyDescent="0.25">
      <c r="C1606" s="38"/>
      <c r="D1606" s="38"/>
    </row>
    <row r="1607" spans="3:4" x14ac:dyDescent="0.25">
      <c r="C1607" s="38"/>
      <c r="D1607" s="38"/>
    </row>
    <row r="1608" spans="3:4" x14ac:dyDescent="0.25">
      <c r="C1608" s="38"/>
      <c r="D1608" s="38"/>
    </row>
    <row r="1609" spans="3:4" x14ac:dyDescent="0.25">
      <c r="C1609" s="38"/>
      <c r="D1609" s="38"/>
    </row>
    <row r="1610" spans="3:4" x14ac:dyDescent="0.25">
      <c r="C1610" s="38"/>
      <c r="D1610" s="38"/>
    </row>
    <row r="1611" spans="3:4" x14ac:dyDescent="0.25">
      <c r="C1611" s="38"/>
      <c r="D1611" s="38"/>
    </row>
    <row r="1612" spans="3:4" x14ac:dyDescent="0.25">
      <c r="C1612" s="38"/>
      <c r="D1612" s="38"/>
    </row>
    <row r="1613" spans="3:4" x14ac:dyDescent="0.25">
      <c r="C1613" s="38"/>
      <c r="D1613" s="38"/>
    </row>
    <row r="1614" spans="3:4" x14ac:dyDescent="0.25">
      <c r="C1614" s="38"/>
      <c r="D1614" s="38"/>
    </row>
    <row r="1615" spans="3:4" x14ac:dyDescent="0.25">
      <c r="C1615" s="38"/>
      <c r="D1615" s="38"/>
    </row>
    <row r="1616" spans="3:4" x14ac:dyDescent="0.25">
      <c r="C1616" s="38"/>
      <c r="D1616" s="38"/>
    </row>
    <row r="1617" spans="3:4" x14ac:dyDescent="0.25">
      <c r="C1617" s="38"/>
      <c r="D1617" s="38"/>
    </row>
    <row r="1618" spans="3:4" x14ac:dyDescent="0.25">
      <c r="C1618" s="38"/>
      <c r="D1618" s="38"/>
    </row>
    <row r="1619" spans="3:4" x14ac:dyDescent="0.25">
      <c r="C1619" s="38"/>
      <c r="D1619" s="38"/>
    </row>
    <row r="1620" spans="3:4" x14ac:dyDescent="0.25">
      <c r="C1620" s="38"/>
      <c r="D1620" s="38"/>
    </row>
    <row r="1621" spans="3:4" x14ac:dyDescent="0.25">
      <c r="C1621" s="38"/>
      <c r="D1621" s="38"/>
    </row>
    <row r="1622" spans="3:4" x14ac:dyDescent="0.25">
      <c r="C1622" s="38"/>
      <c r="D1622" s="38"/>
    </row>
    <row r="1623" spans="3:4" x14ac:dyDescent="0.25">
      <c r="C1623" s="38"/>
      <c r="D1623" s="38"/>
    </row>
    <row r="1624" spans="3:4" x14ac:dyDescent="0.25">
      <c r="C1624" s="38"/>
      <c r="D1624" s="38"/>
    </row>
    <row r="1625" spans="3:4" x14ac:dyDescent="0.25">
      <c r="C1625" s="38"/>
      <c r="D1625" s="38"/>
    </row>
    <row r="1626" spans="3:4" x14ac:dyDescent="0.25">
      <c r="C1626" s="38"/>
      <c r="D1626" s="38"/>
    </row>
    <row r="1627" spans="3:4" x14ac:dyDescent="0.25">
      <c r="C1627" s="38"/>
      <c r="D1627" s="38"/>
    </row>
    <row r="1628" spans="3:4" x14ac:dyDescent="0.25">
      <c r="C1628" s="38"/>
      <c r="D1628" s="38"/>
    </row>
    <row r="1629" spans="3:4" x14ac:dyDescent="0.25">
      <c r="C1629" s="38"/>
      <c r="D1629" s="38"/>
    </row>
    <row r="1630" spans="3:4" x14ac:dyDescent="0.25">
      <c r="C1630" s="38"/>
      <c r="D1630" s="38"/>
    </row>
    <row r="1631" spans="3:4" x14ac:dyDescent="0.25">
      <c r="C1631" s="38"/>
      <c r="D1631" s="38"/>
    </row>
    <row r="1632" spans="3:4" x14ac:dyDescent="0.25">
      <c r="C1632" s="38"/>
      <c r="D1632" s="38"/>
    </row>
    <row r="1633" spans="3:4" x14ac:dyDescent="0.25">
      <c r="C1633" s="38"/>
      <c r="D1633" s="38"/>
    </row>
    <row r="1634" spans="3:4" x14ac:dyDescent="0.25">
      <c r="C1634" s="38"/>
      <c r="D1634" s="38"/>
    </row>
    <row r="1635" spans="3:4" x14ac:dyDescent="0.25">
      <c r="C1635" s="38"/>
      <c r="D1635" s="38"/>
    </row>
    <row r="1636" spans="3:4" x14ac:dyDescent="0.25">
      <c r="C1636" s="38"/>
      <c r="D1636" s="38"/>
    </row>
    <row r="1637" spans="3:4" x14ac:dyDescent="0.25">
      <c r="C1637" s="38"/>
      <c r="D1637" s="38"/>
    </row>
    <row r="1638" spans="3:4" x14ac:dyDescent="0.25">
      <c r="C1638" s="38"/>
      <c r="D1638" s="38"/>
    </row>
    <row r="1639" spans="3:4" x14ac:dyDescent="0.25">
      <c r="C1639" s="38"/>
      <c r="D1639" s="38"/>
    </row>
    <row r="1640" spans="3:4" x14ac:dyDescent="0.25">
      <c r="C1640" s="38"/>
      <c r="D1640" s="38"/>
    </row>
    <row r="1641" spans="3:4" x14ac:dyDescent="0.25">
      <c r="C1641" s="38"/>
      <c r="D1641" s="38"/>
    </row>
    <row r="1642" spans="3:4" x14ac:dyDescent="0.25">
      <c r="C1642" s="38"/>
      <c r="D1642" s="38"/>
    </row>
    <row r="1643" spans="3:4" x14ac:dyDescent="0.25">
      <c r="C1643" s="38"/>
      <c r="D1643" s="38"/>
    </row>
    <row r="1644" spans="3:4" x14ac:dyDescent="0.25">
      <c r="C1644" s="38"/>
      <c r="D1644" s="38"/>
    </row>
    <row r="1645" spans="3:4" x14ac:dyDescent="0.25">
      <c r="C1645" s="38"/>
      <c r="D1645" s="38"/>
    </row>
    <row r="1646" spans="3:4" x14ac:dyDescent="0.25">
      <c r="C1646" s="38"/>
      <c r="D1646" s="38"/>
    </row>
    <row r="1647" spans="3:4" x14ac:dyDescent="0.25">
      <c r="C1647" s="38"/>
      <c r="D1647" s="38"/>
    </row>
    <row r="1648" spans="3:4" x14ac:dyDescent="0.25">
      <c r="C1648" s="38"/>
      <c r="D1648" s="38"/>
    </row>
    <row r="1649" spans="3:4" x14ac:dyDescent="0.25">
      <c r="C1649" s="38"/>
      <c r="D1649" s="38"/>
    </row>
    <row r="1650" spans="3:4" x14ac:dyDescent="0.25">
      <c r="C1650" s="38"/>
      <c r="D1650" s="38"/>
    </row>
    <row r="1651" spans="3:4" x14ac:dyDescent="0.25">
      <c r="C1651" s="38"/>
      <c r="D1651" s="38"/>
    </row>
    <row r="1652" spans="3:4" x14ac:dyDescent="0.25">
      <c r="C1652" s="38"/>
      <c r="D1652" s="38"/>
    </row>
    <row r="1653" spans="3:4" x14ac:dyDescent="0.25">
      <c r="C1653" s="38"/>
      <c r="D1653" s="38"/>
    </row>
    <row r="1654" spans="3:4" x14ac:dyDescent="0.25">
      <c r="C1654" s="38"/>
      <c r="D1654" s="38"/>
    </row>
    <row r="1655" spans="3:4" x14ac:dyDescent="0.25">
      <c r="C1655" s="38"/>
      <c r="D1655" s="38"/>
    </row>
    <row r="1656" spans="3:4" x14ac:dyDescent="0.25">
      <c r="C1656" s="38"/>
      <c r="D1656" s="38"/>
    </row>
    <row r="1657" spans="3:4" x14ac:dyDescent="0.25">
      <c r="C1657" s="38"/>
      <c r="D1657" s="38"/>
    </row>
    <row r="1658" spans="3:4" x14ac:dyDescent="0.25">
      <c r="C1658" s="38"/>
      <c r="D1658" s="38"/>
    </row>
    <row r="1659" spans="3:4" x14ac:dyDescent="0.25">
      <c r="C1659" s="38"/>
      <c r="D1659" s="38"/>
    </row>
    <row r="1660" spans="3:4" x14ac:dyDescent="0.25">
      <c r="C1660" s="38"/>
      <c r="D1660" s="38"/>
    </row>
    <row r="1661" spans="3:4" x14ac:dyDescent="0.25">
      <c r="C1661" s="38"/>
      <c r="D1661" s="38"/>
    </row>
    <row r="1662" spans="3:4" x14ac:dyDescent="0.25">
      <c r="C1662" s="38"/>
      <c r="D1662" s="38"/>
    </row>
    <row r="1663" spans="3:4" x14ac:dyDescent="0.25">
      <c r="C1663" s="38"/>
      <c r="D1663" s="38"/>
    </row>
    <row r="1664" spans="3:4" x14ac:dyDescent="0.25">
      <c r="C1664" s="38"/>
      <c r="D1664" s="38"/>
    </row>
    <row r="1665" spans="3:4" x14ac:dyDescent="0.25">
      <c r="C1665" s="38"/>
      <c r="D1665" s="38"/>
    </row>
    <row r="1666" spans="3:4" x14ac:dyDescent="0.25">
      <c r="C1666" s="38"/>
      <c r="D1666" s="38"/>
    </row>
    <row r="1667" spans="3:4" x14ac:dyDescent="0.25">
      <c r="C1667" s="38"/>
      <c r="D1667" s="38"/>
    </row>
    <row r="1668" spans="3:4" x14ac:dyDescent="0.25">
      <c r="C1668" s="38"/>
      <c r="D1668" s="38"/>
    </row>
    <row r="1669" spans="3:4" x14ac:dyDescent="0.25">
      <c r="C1669" s="38"/>
      <c r="D1669" s="38"/>
    </row>
    <row r="1670" spans="3:4" x14ac:dyDescent="0.25">
      <c r="C1670" s="38"/>
      <c r="D1670" s="38"/>
    </row>
    <row r="1671" spans="3:4" x14ac:dyDescent="0.25">
      <c r="C1671" s="38"/>
      <c r="D1671" s="38"/>
    </row>
    <row r="1672" spans="3:4" x14ac:dyDescent="0.25">
      <c r="C1672" s="38"/>
      <c r="D1672" s="38"/>
    </row>
    <row r="1673" spans="3:4" x14ac:dyDescent="0.25">
      <c r="C1673" s="38"/>
      <c r="D1673" s="38"/>
    </row>
    <row r="1674" spans="3:4" x14ac:dyDescent="0.25">
      <c r="C1674" s="38"/>
      <c r="D1674" s="38"/>
    </row>
    <row r="1675" spans="3:4" x14ac:dyDescent="0.25">
      <c r="C1675" s="38"/>
      <c r="D1675" s="38"/>
    </row>
    <row r="1676" spans="3:4" x14ac:dyDescent="0.25">
      <c r="C1676" s="38"/>
      <c r="D1676" s="38"/>
    </row>
    <row r="1677" spans="3:4" x14ac:dyDescent="0.25">
      <c r="C1677" s="38"/>
      <c r="D1677" s="38"/>
    </row>
    <row r="1678" spans="3:4" x14ac:dyDescent="0.25">
      <c r="C1678" s="38"/>
      <c r="D1678" s="38"/>
    </row>
    <row r="1679" spans="3:4" x14ac:dyDescent="0.25">
      <c r="C1679" s="38"/>
      <c r="D1679" s="38"/>
    </row>
    <row r="1680" spans="3:4" x14ac:dyDescent="0.25">
      <c r="C1680" s="38"/>
      <c r="D1680" s="38"/>
    </row>
    <row r="1681" spans="3:4" x14ac:dyDescent="0.25">
      <c r="C1681" s="38"/>
      <c r="D1681" s="38"/>
    </row>
    <row r="1682" spans="3:4" x14ac:dyDescent="0.25">
      <c r="C1682" s="38"/>
      <c r="D1682" s="38"/>
    </row>
    <row r="1683" spans="3:4" x14ac:dyDescent="0.25">
      <c r="C1683" s="38"/>
      <c r="D1683" s="38"/>
    </row>
    <row r="1684" spans="3:4" x14ac:dyDescent="0.25">
      <c r="C1684" s="38"/>
      <c r="D1684" s="38"/>
    </row>
    <row r="1685" spans="3:4" x14ac:dyDescent="0.25">
      <c r="C1685" s="38"/>
      <c r="D1685" s="38"/>
    </row>
    <row r="1686" spans="3:4" x14ac:dyDescent="0.25">
      <c r="C1686" s="38"/>
      <c r="D1686" s="38"/>
    </row>
    <row r="1687" spans="3:4" x14ac:dyDescent="0.25">
      <c r="C1687" s="38"/>
      <c r="D1687" s="38"/>
    </row>
    <row r="1688" spans="3:4" x14ac:dyDescent="0.25">
      <c r="C1688" s="38"/>
      <c r="D1688" s="38"/>
    </row>
    <row r="1689" spans="3:4" x14ac:dyDescent="0.25">
      <c r="C1689" s="38"/>
      <c r="D1689" s="38"/>
    </row>
    <row r="1690" spans="3:4" x14ac:dyDescent="0.25">
      <c r="C1690" s="38"/>
      <c r="D1690" s="38"/>
    </row>
    <row r="1691" spans="3:4" x14ac:dyDescent="0.25">
      <c r="C1691" s="38"/>
      <c r="D1691" s="38"/>
    </row>
    <row r="1692" spans="3:4" x14ac:dyDescent="0.25">
      <c r="C1692" s="38"/>
      <c r="D1692" s="38"/>
    </row>
    <row r="1693" spans="3:4" x14ac:dyDescent="0.25">
      <c r="C1693" s="38"/>
      <c r="D1693" s="38"/>
    </row>
    <row r="1694" spans="3:4" x14ac:dyDescent="0.25">
      <c r="C1694" s="38"/>
      <c r="D1694" s="38"/>
    </row>
    <row r="1695" spans="3:4" x14ac:dyDescent="0.25">
      <c r="C1695" s="38"/>
      <c r="D1695" s="38"/>
    </row>
    <row r="1696" spans="3:4" x14ac:dyDescent="0.25">
      <c r="C1696" s="38"/>
      <c r="D1696" s="38"/>
    </row>
    <row r="1697" spans="3:4" x14ac:dyDescent="0.25">
      <c r="C1697" s="38"/>
      <c r="D1697" s="38"/>
    </row>
    <row r="1698" spans="3:4" x14ac:dyDescent="0.25">
      <c r="C1698" s="38"/>
      <c r="D1698" s="38"/>
    </row>
    <row r="1699" spans="3:4" x14ac:dyDescent="0.25">
      <c r="C1699" s="38"/>
      <c r="D1699" s="38"/>
    </row>
    <row r="1700" spans="3:4" x14ac:dyDescent="0.25">
      <c r="C1700" s="38"/>
      <c r="D1700" s="38"/>
    </row>
    <row r="1701" spans="3:4" x14ac:dyDescent="0.25">
      <c r="C1701" s="38"/>
      <c r="D1701" s="38"/>
    </row>
    <row r="1702" spans="3:4" x14ac:dyDescent="0.25">
      <c r="C1702" s="38"/>
      <c r="D1702" s="38"/>
    </row>
    <row r="1703" spans="3:4" x14ac:dyDescent="0.25">
      <c r="C1703" s="38"/>
      <c r="D1703" s="38"/>
    </row>
    <row r="1704" spans="3:4" x14ac:dyDescent="0.25">
      <c r="C1704" s="38"/>
      <c r="D1704" s="38"/>
    </row>
    <row r="1705" spans="3:4" x14ac:dyDescent="0.25">
      <c r="C1705" s="38"/>
      <c r="D1705" s="38"/>
    </row>
    <row r="1706" spans="3:4" x14ac:dyDescent="0.25">
      <c r="C1706" s="38"/>
      <c r="D1706" s="38"/>
    </row>
    <row r="1707" spans="3:4" x14ac:dyDescent="0.25">
      <c r="C1707" s="38"/>
      <c r="D1707" s="38"/>
    </row>
    <row r="1708" spans="3:4" x14ac:dyDescent="0.25">
      <c r="C1708" s="38"/>
      <c r="D1708" s="38"/>
    </row>
    <row r="1709" spans="3:4" x14ac:dyDescent="0.25">
      <c r="C1709" s="38"/>
      <c r="D1709" s="38"/>
    </row>
    <row r="1710" spans="3:4" x14ac:dyDescent="0.25">
      <c r="C1710" s="38"/>
      <c r="D1710" s="38"/>
    </row>
    <row r="1711" spans="3:4" x14ac:dyDescent="0.25">
      <c r="C1711" s="38"/>
      <c r="D1711" s="38"/>
    </row>
    <row r="1712" spans="3:4" x14ac:dyDescent="0.25">
      <c r="C1712" s="38"/>
      <c r="D1712" s="38"/>
    </row>
    <row r="1713" spans="3:4" x14ac:dyDescent="0.25">
      <c r="C1713" s="38"/>
      <c r="D1713" s="38"/>
    </row>
    <row r="1714" spans="3:4" x14ac:dyDescent="0.25">
      <c r="C1714" s="38"/>
      <c r="D1714" s="38"/>
    </row>
    <row r="1715" spans="3:4" x14ac:dyDescent="0.25">
      <c r="C1715" s="38"/>
      <c r="D1715" s="38"/>
    </row>
    <row r="1716" spans="3:4" x14ac:dyDescent="0.25">
      <c r="C1716" s="38"/>
      <c r="D1716" s="38"/>
    </row>
    <row r="1717" spans="3:4" x14ac:dyDescent="0.25">
      <c r="C1717" s="38"/>
      <c r="D1717" s="38"/>
    </row>
    <row r="1718" spans="3:4" x14ac:dyDescent="0.25">
      <c r="C1718" s="38"/>
      <c r="D1718" s="38"/>
    </row>
    <row r="1719" spans="3:4" x14ac:dyDescent="0.25">
      <c r="C1719" s="38"/>
      <c r="D1719" s="38"/>
    </row>
    <row r="1720" spans="3:4" x14ac:dyDescent="0.25">
      <c r="C1720" s="38"/>
      <c r="D1720" s="38"/>
    </row>
    <row r="1721" spans="3:4" x14ac:dyDescent="0.25">
      <c r="C1721" s="38"/>
      <c r="D1721" s="38"/>
    </row>
    <row r="1722" spans="3:4" x14ac:dyDescent="0.25">
      <c r="C1722" s="38"/>
      <c r="D1722" s="38"/>
    </row>
    <row r="1723" spans="3:4" x14ac:dyDescent="0.25">
      <c r="C1723" s="38"/>
      <c r="D1723" s="38"/>
    </row>
    <row r="1724" spans="3:4" x14ac:dyDescent="0.25">
      <c r="C1724" s="38"/>
      <c r="D1724" s="38"/>
    </row>
    <row r="1725" spans="3:4" x14ac:dyDescent="0.25">
      <c r="C1725" s="38"/>
      <c r="D1725" s="38"/>
    </row>
    <row r="1726" spans="3:4" x14ac:dyDescent="0.25">
      <c r="C1726" s="38"/>
      <c r="D1726" s="38"/>
    </row>
    <row r="1727" spans="3:4" x14ac:dyDescent="0.25">
      <c r="C1727" s="38"/>
      <c r="D1727" s="38"/>
    </row>
    <row r="1728" spans="3:4" x14ac:dyDescent="0.25">
      <c r="C1728" s="38"/>
      <c r="D1728" s="38"/>
    </row>
    <row r="1729" spans="3:4" x14ac:dyDescent="0.25">
      <c r="C1729" s="38"/>
      <c r="D1729" s="38"/>
    </row>
    <row r="1730" spans="3:4" x14ac:dyDescent="0.25">
      <c r="C1730" s="38"/>
      <c r="D1730" s="38"/>
    </row>
    <row r="1731" spans="3:4" x14ac:dyDescent="0.25">
      <c r="C1731" s="38"/>
      <c r="D1731" s="38"/>
    </row>
    <row r="1732" spans="3:4" x14ac:dyDescent="0.25">
      <c r="C1732" s="38"/>
      <c r="D1732" s="38"/>
    </row>
    <row r="1733" spans="3:4" x14ac:dyDescent="0.25">
      <c r="C1733" s="38"/>
      <c r="D1733" s="38"/>
    </row>
    <row r="1734" spans="3:4" x14ac:dyDescent="0.25">
      <c r="C1734" s="38"/>
      <c r="D1734" s="38"/>
    </row>
    <row r="1735" spans="3:4" x14ac:dyDescent="0.25">
      <c r="C1735" s="38"/>
      <c r="D1735" s="38"/>
    </row>
    <row r="1736" spans="3:4" x14ac:dyDescent="0.25">
      <c r="C1736" s="38"/>
      <c r="D1736" s="38"/>
    </row>
    <row r="1737" spans="3:4" x14ac:dyDescent="0.25">
      <c r="C1737" s="38"/>
      <c r="D1737" s="38"/>
    </row>
    <row r="1738" spans="3:4" x14ac:dyDescent="0.25">
      <c r="C1738" s="38"/>
      <c r="D1738" s="38"/>
    </row>
    <row r="1739" spans="3:4" x14ac:dyDescent="0.25">
      <c r="C1739" s="38"/>
      <c r="D1739" s="38"/>
    </row>
    <row r="1740" spans="3:4" x14ac:dyDescent="0.25">
      <c r="C1740" s="38"/>
      <c r="D1740" s="38"/>
    </row>
    <row r="1741" spans="3:4" x14ac:dyDescent="0.25">
      <c r="C1741" s="38"/>
      <c r="D1741" s="38"/>
    </row>
    <row r="1742" spans="3:4" x14ac:dyDescent="0.25">
      <c r="C1742" s="38"/>
      <c r="D1742" s="38"/>
    </row>
    <row r="1743" spans="3:4" x14ac:dyDescent="0.25">
      <c r="C1743" s="38"/>
      <c r="D1743" s="38"/>
    </row>
    <row r="1744" spans="3:4" x14ac:dyDescent="0.25">
      <c r="C1744" s="38"/>
      <c r="D1744" s="38"/>
    </row>
    <row r="1745" spans="3:4" x14ac:dyDescent="0.25">
      <c r="C1745" s="38"/>
      <c r="D1745" s="38"/>
    </row>
    <row r="1746" spans="3:4" x14ac:dyDescent="0.25">
      <c r="C1746" s="38"/>
      <c r="D1746" s="38"/>
    </row>
    <row r="1747" spans="3:4" x14ac:dyDescent="0.25">
      <c r="C1747" s="38"/>
      <c r="D1747" s="38"/>
    </row>
    <row r="1748" spans="3:4" x14ac:dyDescent="0.25">
      <c r="C1748" s="38"/>
      <c r="D1748" s="38"/>
    </row>
    <row r="1749" spans="3:4" x14ac:dyDescent="0.25">
      <c r="C1749" s="38"/>
      <c r="D1749" s="38"/>
    </row>
    <row r="1750" spans="3:4" x14ac:dyDescent="0.25">
      <c r="C1750" s="38"/>
      <c r="D1750" s="38"/>
    </row>
    <row r="1751" spans="3:4" x14ac:dyDescent="0.25">
      <c r="C1751" s="38"/>
      <c r="D1751" s="38"/>
    </row>
    <row r="1752" spans="3:4" x14ac:dyDescent="0.25">
      <c r="C1752" s="38"/>
      <c r="D1752" s="38"/>
    </row>
    <row r="1753" spans="3:4" x14ac:dyDescent="0.25">
      <c r="C1753" s="38"/>
      <c r="D1753" s="38"/>
    </row>
    <row r="1754" spans="3:4" x14ac:dyDescent="0.25">
      <c r="C1754" s="38"/>
      <c r="D1754" s="38"/>
    </row>
    <row r="1755" spans="3:4" x14ac:dyDescent="0.25">
      <c r="C1755" s="38"/>
      <c r="D1755" s="38"/>
    </row>
    <row r="1756" spans="3:4" x14ac:dyDescent="0.25">
      <c r="C1756" s="38"/>
      <c r="D1756" s="38"/>
    </row>
    <row r="1757" spans="3:4" x14ac:dyDescent="0.25">
      <c r="C1757" s="38"/>
      <c r="D1757" s="38"/>
    </row>
    <row r="1758" spans="3:4" x14ac:dyDescent="0.25">
      <c r="C1758" s="38"/>
      <c r="D1758" s="38"/>
    </row>
    <row r="1759" spans="3:4" x14ac:dyDescent="0.25">
      <c r="C1759" s="38"/>
      <c r="D1759" s="38"/>
    </row>
    <row r="1760" spans="3:4" x14ac:dyDescent="0.25">
      <c r="C1760" s="38"/>
      <c r="D1760" s="38"/>
    </row>
    <row r="1761" spans="3:4" x14ac:dyDescent="0.25">
      <c r="C1761" s="38"/>
      <c r="D1761" s="38"/>
    </row>
    <row r="1762" spans="3:4" x14ac:dyDescent="0.25">
      <c r="C1762" s="38"/>
      <c r="D1762" s="38"/>
    </row>
    <row r="1763" spans="3:4" x14ac:dyDescent="0.25">
      <c r="C1763" s="38"/>
      <c r="D1763" s="38"/>
    </row>
    <row r="1764" spans="3:4" x14ac:dyDescent="0.25">
      <c r="C1764" s="38"/>
      <c r="D1764" s="38"/>
    </row>
    <row r="1765" spans="3:4" x14ac:dyDescent="0.25">
      <c r="C1765" s="38"/>
      <c r="D1765" s="38"/>
    </row>
    <row r="1766" spans="3:4" x14ac:dyDescent="0.25">
      <c r="C1766" s="38"/>
      <c r="D1766" s="38"/>
    </row>
    <row r="1767" spans="3:4" x14ac:dyDescent="0.25">
      <c r="C1767" s="38"/>
      <c r="D1767" s="38"/>
    </row>
    <row r="1768" spans="3:4" x14ac:dyDescent="0.25">
      <c r="C1768" s="38"/>
      <c r="D1768" s="38"/>
    </row>
    <row r="1769" spans="3:4" x14ac:dyDescent="0.25">
      <c r="C1769" s="38"/>
      <c r="D1769" s="38"/>
    </row>
    <row r="1770" spans="3:4" x14ac:dyDescent="0.25">
      <c r="C1770" s="38"/>
      <c r="D1770" s="38"/>
    </row>
    <row r="1771" spans="3:4" x14ac:dyDescent="0.25">
      <c r="C1771" s="38"/>
      <c r="D1771" s="38"/>
    </row>
    <row r="1772" spans="3:4" x14ac:dyDescent="0.25">
      <c r="C1772" s="38"/>
      <c r="D1772" s="38"/>
    </row>
    <row r="1773" spans="3:4" x14ac:dyDescent="0.25">
      <c r="C1773" s="38"/>
      <c r="D1773" s="38"/>
    </row>
    <row r="1774" spans="3:4" x14ac:dyDescent="0.25">
      <c r="C1774" s="38"/>
      <c r="D1774" s="38"/>
    </row>
    <row r="1775" spans="3:4" x14ac:dyDescent="0.25">
      <c r="C1775" s="38"/>
      <c r="D1775" s="38"/>
    </row>
    <row r="1776" spans="3:4" x14ac:dyDescent="0.25">
      <c r="C1776" s="38"/>
      <c r="D1776" s="38"/>
    </row>
    <row r="1777" spans="3:4" x14ac:dyDescent="0.25">
      <c r="C1777" s="38"/>
      <c r="D1777" s="38"/>
    </row>
    <row r="1778" spans="3:4" x14ac:dyDescent="0.25">
      <c r="C1778" s="38"/>
      <c r="D1778" s="38"/>
    </row>
    <row r="1779" spans="3:4" x14ac:dyDescent="0.25">
      <c r="C1779" s="38"/>
      <c r="D1779" s="38"/>
    </row>
    <row r="1780" spans="3:4" x14ac:dyDescent="0.25">
      <c r="C1780" s="38"/>
      <c r="D1780" s="38"/>
    </row>
    <row r="1781" spans="3:4" x14ac:dyDescent="0.25">
      <c r="C1781" s="38"/>
      <c r="D1781" s="38"/>
    </row>
    <row r="1782" spans="3:4" x14ac:dyDescent="0.25">
      <c r="C1782" s="38"/>
      <c r="D1782" s="38"/>
    </row>
    <row r="1783" spans="3:4" x14ac:dyDescent="0.25">
      <c r="C1783" s="38"/>
      <c r="D1783" s="38"/>
    </row>
    <row r="1784" spans="3:4" x14ac:dyDescent="0.25">
      <c r="C1784" s="38"/>
      <c r="D1784" s="38"/>
    </row>
    <row r="1785" spans="3:4" x14ac:dyDescent="0.25">
      <c r="C1785" s="38"/>
      <c r="D1785" s="38"/>
    </row>
    <row r="1786" spans="3:4" x14ac:dyDescent="0.25">
      <c r="C1786" s="38"/>
      <c r="D1786" s="38"/>
    </row>
    <row r="1787" spans="3:4" x14ac:dyDescent="0.25">
      <c r="C1787" s="38"/>
      <c r="D1787" s="38"/>
    </row>
    <row r="1788" spans="3:4" x14ac:dyDescent="0.25">
      <c r="C1788" s="38"/>
      <c r="D1788" s="38"/>
    </row>
    <row r="1789" spans="3:4" x14ac:dyDescent="0.25">
      <c r="C1789" s="38"/>
      <c r="D1789" s="38"/>
    </row>
    <row r="1790" spans="3:4" x14ac:dyDescent="0.25">
      <c r="C1790" s="38"/>
      <c r="D1790" s="38"/>
    </row>
    <row r="1791" spans="3:4" x14ac:dyDescent="0.25">
      <c r="C1791" s="38"/>
      <c r="D1791" s="38"/>
    </row>
    <row r="1792" spans="3:4" x14ac:dyDescent="0.25">
      <c r="C1792" s="38"/>
      <c r="D1792" s="38"/>
    </row>
    <row r="1793" spans="3:4" x14ac:dyDescent="0.25">
      <c r="C1793" s="38"/>
      <c r="D1793" s="38"/>
    </row>
    <row r="1794" spans="3:4" x14ac:dyDescent="0.25">
      <c r="C1794" s="38"/>
      <c r="D1794" s="38"/>
    </row>
    <row r="1795" spans="3:4" x14ac:dyDescent="0.25">
      <c r="C1795" s="38"/>
      <c r="D1795" s="38"/>
    </row>
    <row r="1796" spans="3:4" x14ac:dyDescent="0.25">
      <c r="C1796" s="38"/>
      <c r="D1796" s="38"/>
    </row>
    <row r="1797" spans="3:4" x14ac:dyDescent="0.25">
      <c r="C1797" s="38"/>
      <c r="D1797" s="38"/>
    </row>
    <row r="1798" spans="3:4" x14ac:dyDescent="0.25">
      <c r="C1798" s="38"/>
      <c r="D1798" s="38"/>
    </row>
    <row r="1799" spans="3:4" x14ac:dyDescent="0.25">
      <c r="C1799" s="38"/>
      <c r="D1799" s="38"/>
    </row>
    <row r="1800" spans="3:4" x14ac:dyDescent="0.25">
      <c r="C1800" s="38"/>
      <c r="D1800" s="38"/>
    </row>
    <row r="1801" spans="3:4" x14ac:dyDescent="0.25">
      <c r="C1801" s="38"/>
      <c r="D1801" s="38"/>
    </row>
    <row r="1802" spans="3:4" x14ac:dyDescent="0.25">
      <c r="C1802" s="38"/>
      <c r="D1802" s="38"/>
    </row>
    <row r="1803" spans="3:4" x14ac:dyDescent="0.25">
      <c r="C1803" s="38"/>
      <c r="D1803" s="38"/>
    </row>
    <row r="1804" spans="3:4" x14ac:dyDescent="0.25">
      <c r="C1804" s="38"/>
      <c r="D1804" s="38"/>
    </row>
    <row r="1805" spans="3:4" x14ac:dyDescent="0.25">
      <c r="C1805" s="38"/>
      <c r="D1805" s="38"/>
    </row>
    <row r="1806" spans="3:4" x14ac:dyDescent="0.25">
      <c r="C1806" s="38"/>
      <c r="D1806" s="38"/>
    </row>
    <row r="1807" spans="3:4" x14ac:dyDescent="0.25">
      <c r="C1807" s="38"/>
      <c r="D1807" s="38"/>
    </row>
    <row r="1808" spans="3:4" x14ac:dyDescent="0.25">
      <c r="C1808" s="38"/>
      <c r="D1808" s="38"/>
    </row>
    <row r="1809" spans="3:4" x14ac:dyDescent="0.25">
      <c r="C1809" s="38"/>
      <c r="D1809" s="38"/>
    </row>
    <row r="1810" spans="3:4" x14ac:dyDescent="0.25">
      <c r="C1810" s="38"/>
      <c r="D1810" s="38"/>
    </row>
    <row r="1811" spans="3:4" x14ac:dyDescent="0.25">
      <c r="C1811" s="38"/>
      <c r="D1811" s="38"/>
    </row>
    <row r="1812" spans="3:4" x14ac:dyDescent="0.25">
      <c r="C1812" s="38"/>
      <c r="D1812" s="38"/>
    </row>
    <row r="1813" spans="3:4" x14ac:dyDescent="0.25">
      <c r="C1813" s="38"/>
      <c r="D1813" s="38"/>
    </row>
    <row r="1814" spans="3:4" x14ac:dyDescent="0.25">
      <c r="C1814" s="38"/>
      <c r="D1814" s="38"/>
    </row>
    <row r="1815" spans="3:4" x14ac:dyDescent="0.25">
      <c r="C1815" s="38"/>
      <c r="D1815" s="38"/>
    </row>
    <row r="1816" spans="3:4" x14ac:dyDescent="0.25">
      <c r="C1816" s="38"/>
      <c r="D1816" s="38"/>
    </row>
    <row r="1817" spans="3:4" x14ac:dyDescent="0.25">
      <c r="C1817" s="38"/>
      <c r="D1817" s="38"/>
    </row>
    <row r="1818" spans="3:4" x14ac:dyDescent="0.25">
      <c r="C1818" s="38"/>
      <c r="D1818" s="38"/>
    </row>
    <row r="1819" spans="3:4" x14ac:dyDescent="0.25">
      <c r="C1819" s="38"/>
      <c r="D1819" s="38"/>
    </row>
    <row r="1820" spans="3:4" x14ac:dyDescent="0.25">
      <c r="C1820" s="38"/>
      <c r="D1820" s="38"/>
    </row>
    <row r="1821" spans="3:4" x14ac:dyDescent="0.25">
      <c r="C1821" s="38"/>
      <c r="D1821" s="38"/>
    </row>
    <row r="1822" spans="3:4" x14ac:dyDescent="0.25">
      <c r="C1822" s="38"/>
      <c r="D1822" s="38"/>
    </row>
    <row r="1823" spans="3:4" x14ac:dyDescent="0.25">
      <c r="C1823" s="38"/>
      <c r="D1823" s="38"/>
    </row>
    <row r="1824" spans="3:4" x14ac:dyDescent="0.25">
      <c r="C1824" s="38"/>
      <c r="D1824" s="38"/>
    </row>
    <row r="1825" spans="3:4" x14ac:dyDescent="0.25">
      <c r="C1825" s="38"/>
      <c r="D1825" s="38"/>
    </row>
    <row r="1826" spans="3:4" x14ac:dyDescent="0.25">
      <c r="C1826" s="38"/>
      <c r="D1826" s="38"/>
    </row>
    <row r="1827" spans="3:4" x14ac:dyDescent="0.25">
      <c r="C1827" s="38"/>
      <c r="D1827" s="38"/>
    </row>
    <row r="1828" spans="3:4" x14ac:dyDescent="0.25">
      <c r="C1828" s="38"/>
      <c r="D1828" s="38"/>
    </row>
    <row r="1829" spans="3:4" x14ac:dyDescent="0.25">
      <c r="C1829" s="38"/>
      <c r="D1829" s="38"/>
    </row>
    <row r="1830" spans="3:4" x14ac:dyDescent="0.25">
      <c r="C1830" s="38"/>
      <c r="D1830" s="38"/>
    </row>
    <row r="1831" spans="3:4" x14ac:dyDescent="0.25">
      <c r="C1831" s="38"/>
      <c r="D1831" s="38"/>
    </row>
    <row r="1832" spans="3:4" x14ac:dyDescent="0.25">
      <c r="C1832" s="38"/>
      <c r="D1832" s="38"/>
    </row>
    <row r="1833" spans="3:4" x14ac:dyDescent="0.25">
      <c r="C1833" s="38"/>
      <c r="D1833" s="38"/>
    </row>
    <row r="1834" spans="3:4" x14ac:dyDescent="0.25">
      <c r="C1834" s="38"/>
      <c r="D1834" s="38"/>
    </row>
    <row r="1835" spans="3:4" x14ac:dyDescent="0.25">
      <c r="C1835" s="38"/>
      <c r="D1835" s="38"/>
    </row>
    <row r="1836" spans="3:4" x14ac:dyDescent="0.25">
      <c r="C1836" s="38"/>
      <c r="D1836" s="38"/>
    </row>
    <row r="1837" spans="3:4" x14ac:dyDescent="0.25">
      <c r="C1837" s="38"/>
      <c r="D1837" s="38"/>
    </row>
    <row r="1838" spans="3:4" x14ac:dyDescent="0.25">
      <c r="C1838" s="38"/>
      <c r="D1838" s="38"/>
    </row>
    <row r="1839" spans="3:4" x14ac:dyDescent="0.25">
      <c r="C1839" s="38"/>
      <c r="D1839" s="38"/>
    </row>
    <row r="1840" spans="3:4" x14ac:dyDescent="0.25">
      <c r="C1840" s="38"/>
      <c r="D1840" s="38"/>
    </row>
    <row r="1841" spans="3:4" x14ac:dyDescent="0.25">
      <c r="C1841" s="38"/>
      <c r="D1841" s="38"/>
    </row>
    <row r="1842" spans="3:4" x14ac:dyDescent="0.25">
      <c r="C1842" s="38"/>
      <c r="D1842" s="38"/>
    </row>
    <row r="1843" spans="3:4" x14ac:dyDescent="0.25">
      <c r="C1843" s="38"/>
      <c r="D1843" s="38"/>
    </row>
    <row r="1844" spans="3:4" x14ac:dyDescent="0.25">
      <c r="C1844" s="38"/>
      <c r="D1844" s="38"/>
    </row>
    <row r="1845" spans="3:4" x14ac:dyDescent="0.25">
      <c r="C1845" s="38"/>
      <c r="D1845" s="38"/>
    </row>
    <row r="1846" spans="3:4" x14ac:dyDescent="0.25">
      <c r="C1846" s="38"/>
      <c r="D1846" s="38"/>
    </row>
    <row r="2037" spans="3:4" x14ac:dyDescent="0.25">
      <c r="C2037" s="38"/>
      <c r="D2037" s="39"/>
    </row>
    <row r="2038" spans="3:4" x14ac:dyDescent="0.25">
      <c r="C2038" s="38"/>
      <c r="D2038" s="39"/>
    </row>
    <row r="2039" spans="3:4" x14ac:dyDescent="0.25">
      <c r="C2039" s="38"/>
      <c r="D2039" s="39"/>
    </row>
    <row r="2040" spans="3:4" x14ac:dyDescent="0.25">
      <c r="C2040" s="38"/>
      <c r="D2040" s="39"/>
    </row>
    <row r="2041" spans="3:4" x14ac:dyDescent="0.25">
      <c r="C2041" s="38"/>
      <c r="D2041" s="39"/>
    </row>
    <row r="2042" spans="3:4" x14ac:dyDescent="0.25">
      <c r="C2042" s="38"/>
      <c r="D2042" s="39"/>
    </row>
    <row r="2043" spans="3:4" x14ac:dyDescent="0.25">
      <c r="C2043" s="38"/>
      <c r="D2043" s="39"/>
    </row>
    <row r="2044" spans="3:4" x14ac:dyDescent="0.25">
      <c r="C2044" s="38"/>
      <c r="D2044" s="39"/>
    </row>
    <row r="2045" spans="3:4" x14ac:dyDescent="0.25">
      <c r="C2045" s="38"/>
      <c r="D2045" s="39"/>
    </row>
    <row r="2046" spans="3:4" x14ac:dyDescent="0.25">
      <c r="C2046" s="38"/>
      <c r="D2046" s="39"/>
    </row>
    <row r="2047" spans="3:4" x14ac:dyDescent="0.25">
      <c r="C2047" s="38"/>
      <c r="D2047" s="39"/>
    </row>
    <row r="2048" spans="3:4" x14ac:dyDescent="0.25">
      <c r="C2048" s="38"/>
      <c r="D2048" s="39"/>
    </row>
    <row r="2049" spans="3:4" x14ac:dyDescent="0.25">
      <c r="C2049" s="38"/>
      <c r="D2049" s="39"/>
    </row>
    <row r="2050" spans="3:4" x14ac:dyDescent="0.25">
      <c r="C2050" s="38"/>
      <c r="D2050" s="39"/>
    </row>
    <row r="2051" spans="3:4" x14ac:dyDescent="0.25">
      <c r="C2051" s="38"/>
      <c r="D2051" s="39"/>
    </row>
    <row r="2052" spans="3:4" x14ac:dyDescent="0.25">
      <c r="C2052" s="38"/>
      <c r="D2052" s="39"/>
    </row>
    <row r="2053" spans="3:4" x14ac:dyDescent="0.25">
      <c r="C2053" s="38"/>
      <c r="D2053" s="39"/>
    </row>
    <row r="2054" spans="3:4" x14ac:dyDescent="0.25">
      <c r="C2054" s="38"/>
      <c r="D2054" s="39"/>
    </row>
    <row r="2055" spans="3:4" x14ac:dyDescent="0.25">
      <c r="C2055" s="38"/>
      <c r="D2055" s="39"/>
    </row>
    <row r="2056" spans="3:4" x14ac:dyDescent="0.25">
      <c r="C2056" s="38"/>
      <c r="D2056" s="39"/>
    </row>
    <row r="2057" spans="3:4" x14ac:dyDescent="0.25">
      <c r="C2057" s="38"/>
      <c r="D2057" s="39"/>
    </row>
    <row r="2058" spans="3:4" x14ac:dyDescent="0.25">
      <c r="C2058" s="38"/>
      <c r="D2058" s="39"/>
    </row>
    <row r="2059" spans="3:4" x14ac:dyDescent="0.25">
      <c r="C2059" s="38"/>
      <c r="D2059" s="39"/>
    </row>
    <row r="2060" spans="3:4" x14ac:dyDescent="0.25">
      <c r="C2060" s="38"/>
      <c r="D2060" s="39"/>
    </row>
    <row r="2061" spans="3:4" x14ac:dyDescent="0.25">
      <c r="C2061" s="38"/>
      <c r="D2061" s="39"/>
    </row>
    <row r="2062" spans="3:4" x14ac:dyDescent="0.25">
      <c r="C2062" s="38"/>
      <c r="D2062" s="39"/>
    </row>
    <row r="2063" spans="3:4" x14ac:dyDescent="0.25">
      <c r="C2063" s="38"/>
      <c r="D2063" s="39"/>
    </row>
    <row r="2064" spans="3:4" x14ac:dyDescent="0.25">
      <c r="C2064" s="38"/>
      <c r="D2064" s="39"/>
    </row>
    <row r="2065" spans="3:4" x14ac:dyDescent="0.25">
      <c r="C2065" s="38"/>
      <c r="D2065" s="39"/>
    </row>
    <row r="2066" spans="3:4" x14ac:dyDescent="0.25">
      <c r="C2066" s="38"/>
      <c r="D2066" s="39"/>
    </row>
    <row r="2067" spans="3:4" x14ac:dyDescent="0.25">
      <c r="C2067" s="38"/>
      <c r="D2067" s="39"/>
    </row>
    <row r="2068" spans="3:4" x14ac:dyDescent="0.25">
      <c r="C2068" s="38"/>
      <c r="D2068" s="39"/>
    </row>
    <row r="2069" spans="3:4" x14ac:dyDescent="0.25">
      <c r="C2069" s="38"/>
      <c r="D2069" s="39"/>
    </row>
    <row r="2070" spans="3:4" x14ac:dyDescent="0.25">
      <c r="C2070" s="38"/>
      <c r="D2070" s="39"/>
    </row>
    <row r="2071" spans="3:4" x14ac:dyDescent="0.25">
      <c r="C2071" s="38"/>
      <c r="D2071" s="39"/>
    </row>
    <row r="2072" spans="3:4" x14ac:dyDescent="0.25">
      <c r="C2072" s="38"/>
      <c r="D2072" s="39"/>
    </row>
    <row r="2073" spans="3:4" x14ac:dyDescent="0.25">
      <c r="C2073" s="38"/>
      <c r="D2073" s="39"/>
    </row>
    <row r="2074" spans="3:4" x14ac:dyDescent="0.25">
      <c r="C2074" s="38"/>
      <c r="D2074" s="39"/>
    </row>
    <row r="2075" spans="3:4" x14ac:dyDescent="0.25">
      <c r="C2075" s="38"/>
      <c r="D2075" s="39"/>
    </row>
    <row r="2076" spans="3:4" x14ac:dyDescent="0.25">
      <c r="C2076" s="38"/>
      <c r="D2076" s="39"/>
    </row>
    <row r="2077" spans="3:4" x14ac:dyDescent="0.25">
      <c r="C2077" s="38"/>
      <c r="D2077" s="39"/>
    </row>
    <row r="2078" spans="3:4" x14ac:dyDescent="0.25">
      <c r="C2078" s="38"/>
      <c r="D2078" s="39"/>
    </row>
    <row r="2079" spans="3:4" x14ac:dyDescent="0.25">
      <c r="C2079" s="38"/>
      <c r="D2079" s="39"/>
    </row>
    <row r="2080" spans="3:4" x14ac:dyDescent="0.25">
      <c r="C2080" s="38"/>
      <c r="D2080" s="39"/>
    </row>
    <row r="2081" spans="3:4" x14ac:dyDescent="0.25">
      <c r="C2081" s="38"/>
      <c r="D2081" s="39"/>
    </row>
    <row r="2082" spans="3:4" x14ac:dyDescent="0.25">
      <c r="C2082" s="38"/>
      <c r="D2082" s="39"/>
    </row>
    <row r="2083" spans="3:4" x14ac:dyDescent="0.25">
      <c r="C2083" s="38"/>
      <c r="D2083" s="39"/>
    </row>
    <row r="2084" spans="3:4" x14ac:dyDescent="0.25">
      <c r="C2084" s="38"/>
      <c r="D2084" s="39"/>
    </row>
    <row r="2085" spans="3:4" x14ac:dyDescent="0.25">
      <c r="C2085" s="38"/>
      <c r="D2085" s="39"/>
    </row>
    <row r="2086" spans="3:4" x14ac:dyDescent="0.25">
      <c r="C2086" s="38"/>
      <c r="D2086" s="39"/>
    </row>
    <row r="2087" spans="3:4" x14ac:dyDescent="0.25">
      <c r="C2087" s="38"/>
      <c r="D2087" s="39"/>
    </row>
    <row r="2088" spans="3:4" x14ac:dyDescent="0.25">
      <c r="C2088" s="38"/>
      <c r="D2088" s="39"/>
    </row>
    <row r="2089" spans="3:4" x14ac:dyDescent="0.25">
      <c r="C2089" s="38"/>
      <c r="D2089" s="39"/>
    </row>
    <row r="2090" spans="3:4" x14ac:dyDescent="0.25">
      <c r="C2090" s="38"/>
      <c r="D2090" s="39"/>
    </row>
    <row r="2091" spans="3:4" x14ac:dyDescent="0.25">
      <c r="C2091" s="38"/>
      <c r="D2091" s="39"/>
    </row>
    <row r="2092" spans="3:4" x14ac:dyDescent="0.25">
      <c r="C2092" s="38"/>
      <c r="D2092" s="39"/>
    </row>
    <row r="2093" spans="3:4" x14ac:dyDescent="0.25">
      <c r="C2093" s="38"/>
      <c r="D2093" s="39"/>
    </row>
    <row r="2094" spans="3:4" x14ac:dyDescent="0.25">
      <c r="C2094" s="38"/>
      <c r="D2094" s="39"/>
    </row>
    <row r="2095" spans="3:4" x14ac:dyDescent="0.25">
      <c r="C2095" s="38"/>
      <c r="D2095" s="39"/>
    </row>
    <row r="2096" spans="3:4" x14ac:dyDescent="0.25">
      <c r="C2096" s="38"/>
      <c r="D2096" s="39"/>
    </row>
    <row r="2097" spans="3:4" x14ac:dyDescent="0.25">
      <c r="C2097" s="38"/>
      <c r="D2097" s="39"/>
    </row>
    <row r="2098" spans="3:4" x14ac:dyDescent="0.25">
      <c r="C2098" s="38"/>
      <c r="D2098" s="39"/>
    </row>
    <row r="2099" spans="3:4" x14ac:dyDescent="0.25">
      <c r="C2099" s="38"/>
      <c r="D2099" s="39"/>
    </row>
    <row r="2100" spans="3:4" x14ac:dyDescent="0.25">
      <c r="C2100" s="38"/>
      <c r="D2100" s="39"/>
    </row>
    <row r="2101" spans="3:4" x14ac:dyDescent="0.25">
      <c r="C2101" s="38"/>
      <c r="D2101" s="39"/>
    </row>
    <row r="2102" spans="3:4" x14ac:dyDescent="0.25">
      <c r="C2102" s="38"/>
      <c r="D2102" s="39"/>
    </row>
    <row r="2103" spans="3:4" x14ac:dyDescent="0.25">
      <c r="C2103" s="38"/>
      <c r="D2103" s="39"/>
    </row>
    <row r="2104" spans="3:4" x14ac:dyDescent="0.25">
      <c r="C2104" s="38"/>
      <c r="D2104" s="39"/>
    </row>
    <row r="2105" spans="3:4" x14ac:dyDescent="0.25">
      <c r="C2105" s="38"/>
      <c r="D2105" s="39"/>
    </row>
    <row r="2106" spans="3:4" x14ac:dyDescent="0.25">
      <c r="C2106" s="38"/>
      <c r="D2106" s="39"/>
    </row>
    <row r="2107" spans="3:4" x14ac:dyDescent="0.25">
      <c r="C2107" s="38"/>
      <c r="D2107" s="39"/>
    </row>
    <row r="2108" spans="3:4" x14ac:dyDescent="0.25">
      <c r="C2108" s="38"/>
      <c r="D2108" s="39"/>
    </row>
    <row r="2109" spans="3:4" x14ac:dyDescent="0.25">
      <c r="C2109" s="38"/>
      <c r="D2109" s="39"/>
    </row>
    <row r="2110" spans="3:4" x14ac:dyDescent="0.25">
      <c r="C2110" s="38"/>
      <c r="D2110" s="39"/>
    </row>
    <row r="2111" spans="3:4" x14ac:dyDescent="0.25">
      <c r="C2111" s="38"/>
      <c r="D2111" s="39"/>
    </row>
    <row r="2112" spans="3:4" x14ac:dyDescent="0.25">
      <c r="C2112" s="38"/>
      <c r="D2112" s="39"/>
    </row>
    <row r="2113" spans="3:4" x14ac:dyDescent="0.25">
      <c r="C2113" s="38"/>
      <c r="D2113" s="39"/>
    </row>
    <row r="2114" spans="3:4" x14ac:dyDescent="0.25">
      <c r="C2114" s="38"/>
      <c r="D2114" s="39"/>
    </row>
    <row r="2115" spans="3:4" x14ac:dyDescent="0.25">
      <c r="C2115" s="38"/>
      <c r="D2115" s="39"/>
    </row>
    <row r="2116" spans="3:4" x14ac:dyDescent="0.25">
      <c r="C2116" s="38"/>
      <c r="D2116" s="39"/>
    </row>
    <row r="2117" spans="3:4" x14ac:dyDescent="0.25">
      <c r="C2117" s="38"/>
      <c r="D2117" s="39"/>
    </row>
    <row r="2118" spans="3:4" x14ac:dyDescent="0.25">
      <c r="C2118" s="38"/>
      <c r="D2118" s="39"/>
    </row>
    <row r="2119" spans="3:4" x14ac:dyDescent="0.25">
      <c r="C2119" s="38"/>
      <c r="D2119" s="39"/>
    </row>
    <row r="2120" spans="3:4" x14ac:dyDescent="0.25">
      <c r="C2120" s="38"/>
      <c r="D2120" s="39"/>
    </row>
    <row r="2121" spans="3:4" x14ac:dyDescent="0.25">
      <c r="C2121" s="38"/>
      <c r="D2121" s="39"/>
    </row>
    <row r="2122" spans="3:4" x14ac:dyDescent="0.25">
      <c r="C2122" s="38"/>
      <c r="D2122" s="39"/>
    </row>
    <row r="2123" spans="3:4" x14ac:dyDescent="0.25">
      <c r="C2123" s="38"/>
      <c r="D2123" s="39"/>
    </row>
    <row r="2124" spans="3:4" x14ac:dyDescent="0.25">
      <c r="C2124" s="38"/>
      <c r="D2124" s="39"/>
    </row>
    <row r="2125" spans="3:4" x14ac:dyDescent="0.25">
      <c r="C2125" s="38"/>
      <c r="D2125" s="39"/>
    </row>
    <row r="2126" spans="3:4" x14ac:dyDescent="0.25">
      <c r="C2126" s="38"/>
      <c r="D2126" s="39"/>
    </row>
    <row r="2127" spans="3:4" x14ac:dyDescent="0.25">
      <c r="C2127" s="38"/>
      <c r="D2127" s="39"/>
    </row>
    <row r="2128" spans="3:4" x14ac:dyDescent="0.25">
      <c r="C2128" s="38"/>
      <c r="D2128" s="39"/>
    </row>
    <row r="2129" spans="3:4" x14ac:dyDescent="0.25">
      <c r="C2129" s="38"/>
      <c r="D2129" s="39"/>
    </row>
    <row r="2130" spans="3:4" x14ac:dyDescent="0.25">
      <c r="C2130" s="38"/>
      <c r="D2130" s="39"/>
    </row>
    <row r="2131" spans="3:4" x14ac:dyDescent="0.25">
      <c r="C2131" s="38"/>
      <c r="D2131" s="39"/>
    </row>
    <row r="2132" spans="3:4" x14ac:dyDescent="0.25">
      <c r="C2132" s="38"/>
      <c r="D2132" s="39"/>
    </row>
    <row r="2133" spans="3:4" x14ac:dyDescent="0.25">
      <c r="C2133" s="38"/>
      <c r="D2133" s="39"/>
    </row>
    <row r="2134" spans="3:4" x14ac:dyDescent="0.25">
      <c r="C2134" s="38"/>
      <c r="D2134" s="39"/>
    </row>
    <row r="2135" spans="3:4" x14ac:dyDescent="0.25">
      <c r="C2135" s="38"/>
      <c r="D2135" s="39"/>
    </row>
    <row r="2136" spans="3:4" x14ac:dyDescent="0.25">
      <c r="C2136" s="38"/>
      <c r="D2136" s="39"/>
    </row>
    <row r="2137" spans="3:4" x14ac:dyDescent="0.25">
      <c r="C2137" s="38"/>
      <c r="D2137" s="39"/>
    </row>
    <row r="2138" spans="3:4" x14ac:dyDescent="0.25">
      <c r="C2138" s="38"/>
      <c r="D2138" s="39"/>
    </row>
    <row r="2139" spans="3:4" x14ac:dyDescent="0.25">
      <c r="C2139" s="38"/>
      <c r="D2139" s="39"/>
    </row>
    <row r="2140" spans="3:4" x14ac:dyDescent="0.25">
      <c r="C2140" s="38"/>
      <c r="D2140" s="39"/>
    </row>
    <row r="2141" spans="3:4" x14ac:dyDescent="0.25">
      <c r="C2141" s="38"/>
      <c r="D2141" s="39"/>
    </row>
    <row r="2142" spans="3:4" x14ac:dyDescent="0.25">
      <c r="C2142" s="38"/>
      <c r="D2142" s="39"/>
    </row>
    <row r="2143" spans="3:4" x14ac:dyDescent="0.25">
      <c r="C2143" s="38"/>
      <c r="D2143" s="39"/>
    </row>
    <row r="2144" spans="3:4" x14ac:dyDescent="0.25">
      <c r="C2144" s="38"/>
      <c r="D2144" s="39"/>
    </row>
    <row r="2145" spans="3:4" x14ac:dyDescent="0.25">
      <c r="C2145" s="38"/>
      <c r="D2145" s="39"/>
    </row>
    <row r="2146" spans="3:4" x14ac:dyDescent="0.25">
      <c r="C2146" s="38"/>
      <c r="D2146" s="39"/>
    </row>
    <row r="2147" spans="3:4" x14ac:dyDescent="0.25">
      <c r="C2147" s="38"/>
      <c r="D2147" s="39"/>
    </row>
    <row r="2148" spans="3:4" x14ac:dyDescent="0.25">
      <c r="C2148" s="38"/>
      <c r="D2148" s="39"/>
    </row>
    <row r="2149" spans="3:4" x14ac:dyDescent="0.25">
      <c r="C2149" s="38"/>
      <c r="D2149" s="39"/>
    </row>
    <row r="2150" spans="3:4" x14ac:dyDescent="0.25">
      <c r="C2150" s="38"/>
      <c r="D2150" s="39"/>
    </row>
    <row r="2151" spans="3:4" x14ac:dyDescent="0.25">
      <c r="C2151" s="38"/>
      <c r="D2151" s="39"/>
    </row>
    <row r="2152" spans="3:4" x14ac:dyDescent="0.25">
      <c r="C2152" s="38"/>
      <c r="D2152" s="39"/>
    </row>
    <row r="2153" spans="3:4" x14ac:dyDescent="0.25">
      <c r="C2153" s="38"/>
      <c r="D2153" s="39"/>
    </row>
    <row r="2154" spans="3:4" x14ac:dyDescent="0.25">
      <c r="C2154" s="38"/>
      <c r="D2154" s="39"/>
    </row>
    <row r="2155" spans="3:4" x14ac:dyDescent="0.25">
      <c r="C2155" s="38"/>
      <c r="D2155" s="39"/>
    </row>
    <row r="2156" spans="3:4" x14ac:dyDescent="0.25">
      <c r="C2156" s="38"/>
      <c r="D2156" s="39"/>
    </row>
    <row r="2157" spans="3:4" x14ac:dyDescent="0.25">
      <c r="C2157" s="38"/>
      <c r="D2157" s="39"/>
    </row>
    <row r="2158" spans="3:4" x14ac:dyDescent="0.25">
      <c r="C2158" s="38"/>
      <c r="D2158" s="39"/>
    </row>
    <row r="2159" spans="3:4" x14ac:dyDescent="0.25">
      <c r="C2159" s="38"/>
      <c r="D2159" s="39"/>
    </row>
    <row r="2160" spans="3:4" x14ac:dyDescent="0.25">
      <c r="C2160" s="38"/>
      <c r="D2160" s="39"/>
    </row>
    <row r="2161" spans="3:4" x14ac:dyDescent="0.25">
      <c r="C2161" s="38"/>
      <c r="D2161" s="39"/>
    </row>
    <row r="2162" spans="3:4" x14ac:dyDescent="0.25">
      <c r="C2162" s="38"/>
      <c r="D2162" s="39"/>
    </row>
    <row r="2163" spans="3:4" x14ac:dyDescent="0.25">
      <c r="C2163" s="38"/>
      <c r="D2163" s="39"/>
    </row>
    <row r="2164" spans="3:4" x14ac:dyDescent="0.25">
      <c r="C2164" s="38"/>
      <c r="D2164" s="39"/>
    </row>
    <row r="2165" spans="3:4" x14ac:dyDescent="0.25">
      <c r="C2165" s="38"/>
      <c r="D2165" s="39"/>
    </row>
    <row r="2166" spans="3:4" x14ac:dyDescent="0.25">
      <c r="C2166" s="38"/>
      <c r="D2166" s="39"/>
    </row>
    <row r="2167" spans="3:4" x14ac:dyDescent="0.25">
      <c r="C2167" s="38"/>
      <c r="D2167" s="39"/>
    </row>
    <row r="2168" spans="3:4" x14ac:dyDescent="0.25">
      <c r="C2168" s="38"/>
      <c r="D2168" s="39"/>
    </row>
    <row r="2169" spans="3:4" x14ac:dyDescent="0.25">
      <c r="C2169" s="38"/>
      <c r="D2169" s="39"/>
    </row>
    <row r="2170" spans="3:4" x14ac:dyDescent="0.25">
      <c r="C2170" s="38"/>
      <c r="D2170" s="39"/>
    </row>
    <row r="2171" spans="3:4" x14ac:dyDescent="0.25">
      <c r="C2171" s="38"/>
      <c r="D2171" s="39"/>
    </row>
    <row r="2172" spans="3:4" x14ac:dyDescent="0.25">
      <c r="C2172" s="38"/>
      <c r="D2172" s="39"/>
    </row>
    <row r="2173" spans="3:4" x14ac:dyDescent="0.25">
      <c r="C2173" s="38"/>
      <c r="D2173" s="39"/>
    </row>
    <row r="2174" spans="3:4" x14ac:dyDescent="0.25">
      <c r="C2174" s="38"/>
      <c r="D2174" s="39"/>
    </row>
    <row r="2175" spans="3:4" x14ac:dyDescent="0.25">
      <c r="C2175" s="38"/>
      <c r="D2175" s="39"/>
    </row>
    <row r="2176" spans="3:4" x14ac:dyDescent="0.25">
      <c r="C2176" s="38"/>
      <c r="D2176" s="39"/>
    </row>
    <row r="2177" spans="3:4" x14ac:dyDescent="0.25">
      <c r="C2177" s="38"/>
      <c r="D2177" s="39"/>
    </row>
    <row r="2178" spans="3:4" x14ac:dyDescent="0.25">
      <c r="C2178" s="38"/>
      <c r="D2178" s="39"/>
    </row>
    <row r="2179" spans="3:4" x14ac:dyDescent="0.25">
      <c r="C2179" s="38"/>
      <c r="D2179" s="39"/>
    </row>
    <row r="2180" spans="3:4" x14ac:dyDescent="0.25">
      <c r="C2180" s="38"/>
      <c r="D2180" s="39"/>
    </row>
    <row r="2181" spans="3:4" x14ac:dyDescent="0.25">
      <c r="C2181" s="38"/>
      <c r="D2181" s="39"/>
    </row>
    <row r="2182" spans="3:4" x14ac:dyDescent="0.25">
      <c r="C2182" s="38"/>
      <c r="D2182" s="39"/>
    </row>
    <row r="2183" spans="3:4" x14ac:dyDescent="0.25">
      <c r="C2183" s="38"/>
      <c r="D2183" s="39"/>
    </row>
    <row r="2184" spans="3:4" x14ac:dyDescent="0.25">
      <c r="C2184" s="38"/>
      <c r="D2184" s="39"/>
    </row>
    <row r="2185" spans="3:4" x14ac:dyDescent="0.25">
      <c r="C2185" s="38"/>
      <c r="D2185" s="39"/>
    </row>
    <row r="2186" spans="3:4" x14ac:dyDescent="0.25">
      <c r="C2186" s="38"/>
      <c r="D2186" s="39"/>
    </row>
    <row r="2187" spans="3:4" x14ac:dyDescent="0.25">
      <c r="C2187" s="38"/>
      <c r="D2187" s="39"/>
    </row>
    <row r="2188" spans="3:4" x14ac:dyDescent="0.25">
      <c r="C2188" s="38"/>
      <c r="D2188" s="39"/>
    </row>
    <row r="2189" spans="3:4" x14ac:dyDescent="0.25">
      <c r="C2189" s="38"/>
      <c r="D2189" s="39"/>
    </row>
    <row r="2190" spans="3:4" x14ac:dyDescent="0.25">
      <c r="C2190" s="38"/>
      <c r="D2190" s="39"/>
    </row>
    <row r="2191" spans="3:4" x14ac:dyDescent="0.25">
      <c r="C2191" s="38"/>
      <c r="D2191" s="39"/>
    </row>
    <row r="2192" spans="3:4" x14ac:dyDescent="0.25">
      <c r="C2192" s="38"/>
      <c r="D2192" s="39"/>
    </row>
    <row r="2193" spans="3:4" x14ac:dyDescent="0.25">
      <c r="C2193" s="38"/>
      <c r="D2193" s="39"/>
    </row>
    <row r="2194" spans="3:4" x14ac:dyDescent="0.25">
      <c r="C2194" s="38"/>
      <c r="D2194" s="39"/>
    </row>
    <row r="2195" spans="3:4" x14ac:dyDescent="0.25">
      <c r="C2195" s="38"/>
      <c r="D2195" s="39"/>
    </row>
    <row r="2196" spans="3:4" x14ac:dyDescent="0.25">
      <c r="C2196" s="38"/>
      <c r="D2196" s="39"/>
    </row>
    <row r="2197" spans="3:4" x14ac:dyDescent="0.25">
      <c r="C2197" s="38"/>
      <c r="D2197" s="39"/>
    </row>
    <row r="2198" spans="3:4" x14ac:dyDescent="0.25">
      <c r="C2198" s="38"/>
      <c r="D2198" s="39"/>
    </row>
    <row r="2199" spans="3:4" x14ac:dyDescent="0.25">
      <c r="C2199" s="38"/>
      <c r="D2199" s="39"/>
    </row>
    <row r="2200" spans="3:4" x14ac:dyDescent="0.25">
      <c r="C2200" s="38"/>
      <c r="D2200" s="39"/>
    </row>
    <row r="2201" spans="3:4" x14ac:dyDescent="0.25">
      <c r="C2201" s="38"/>
      <c r="D2201" s="39"/>
    </row>
    <row r="2202" spans="3:4" x14ac:dyDescent="0.25">
      <c r="C2202" s="38"/>
      <c r="D2202" s="39"/>
    </row>
    <row r="2203" spans="3:4" x14ac:dyDescent="0.25">
      <c r="C2203" s="38"/>
      <c r="D2203" s="39"/>
    </row>
    <row r="2204" spans="3:4" x14ac:dyDescent="0.25">
      <c r="C2204" s="38"/>
      <c r="D2204" s="39"/>
    </row>
    <row r="2205" spans="3:4" x14ac:dyDescent="0.25">
      <c r="C2205" s="38"/>
      <c r="D2205" s="39"/>
    </row>
    <row r="2206" spans="3:4" x14ac:dyDescent="0.25">
      <c r="C2206" s="38"/>
      <c r="D2206" s="39"/>
    </row>
    <row r="2207" spans="3:4" x14ac:dyDescent="0.25">
      <c r="C2207" s="38"/>
      <c r="D2207" s="39"/>
    </row>
    <row r="2208" spans="3:4" x14ac:dyDescent="0.25">
      <c r="C2208" s="38"/>
      <c r="D2208" s="39"/>
    </row>
    <row r="2209" spans="3:4" x14ac:dyDescent="0.25">
      <c r="C2209" s="38"/>
      <c r="D2209" s="39"/>
    </row>
    <row r="2210" spans="3:4" x14ac:dyDescent="0.25">
      <c r="C2210" s="38"/>
      <c r="D2210" s="39"/>
    </row>
    <row r="2211" spans="3:4" x14ac:dyDescent="0.25">
      <c r="C2211" s="38"/>
      <c r="D2211" s="39"/>
    </row>
    <row r="2212" spans="3:4" x14ac:dyDescent="0.25">
      <c r="C2212" s="38"/>
      <c r="D2212" s="39"/>
    </row>
    <row r="2213" spans="3:4" x14ac:dyDescent="0.25">
      <c r="C2213" s="38"/>
      <c r="D2213" s="39"/>
    </row>
    <row r="2214" spans="3:4" x14ac:dyDescent="0.25">
      <c r="C2214" s="38"/>
      <c r="D2214" s="39"/>
    </row>
    <row r="2215" spans="3:4" x14ac:dyDescent="0.25">
      <c r="C2215" s="38"/>
      <c r="D2215" s="39"/>
    </row>
    <row r="2216" spans="3:4" x14ac:dyDescent="0.25">
      <c r="C2216" s="38"/>
      <c r="D2216" s="39"/>
    </row>
    <row r="2217" spans="3:4" x14ac:dyDescent="0.25">
      <c r="C2217" s="38"/>
      <c r="D2217" s="39"/>
    </row>
    <row r="2218" spans="3:4" x14ac:dyDescent="0.25">
      <c r="C2218" s="38"/>
      <c r="D2218" s="39"/>
    </row>
    <row r="2219" spans="3:4" x14ac:dyDescent="0.25">
      <c r="C2219" s="38"/>
      <c r="D2219" s="39"/>
    </row>
    <row r="2220" spans="3:4" x14ac:dyDescent="0.25">
      <c r="C2220" s="38"/>
      <c r="D2220" s="39"/>
    </row>
    <row r="2221" spans="3:4" x14ac:dyDescent="0.25">
      <c r="C2221" s="38"/>
      <c r="D2221" s="39"/>
    </row>
    <row r="2222" spans="3:4" x14ac:dyDescent="0.25">
      <c r="C2222" s="38"/>
      <c r="D2222" s="39"/>
    </row>
    <row r="2223" spans="3:4" x14ac:dyDescent="0.25">
      <c r="C2223" s="38"/>
      <c r="D2223" s="39"/>
    </row>
    <row r="2224" spans="3:4" x14ac:dyDescent="0.25">
      <c r="C2224" s="38"/>
      <c r="D2224" s="39"/>
    </row>
    <row r="2225" spans="3:4" x14ac:dyDescent="0.25">
      <c r="C2225" s="38"/>
      <c r="D2225" s="39"/>
    </row>
    <row r="2226" spans="3:4" x14ac:dyDescent="0.25">
      <c r="C2226" s="38"/>
      <c r="D2226" s="39"/>
    </row>
    <row r="2227" spans="3:4" x14ac:dyDescent="0.25">
      <c r="C2227" s="38"/>
      <c r="D2227" s="39"/>
    </row>
    <row r="2228" spans="3:4" x14ac:dyDescent="0.25">
      <c r="C2228" s="38"/>
      <c r="D2228" s="39"/>
    </row>
    <row r="2229" spans="3:4" x14ac:dyDescent="0.25">
      <c r="C2229" s="38"/>
      <c r="D2229" s="39"/>
    </row>
    <row r="2230" spans="3:4" x14ac:dyDescent="0.25">
      <c r="C2230" s="38"/>
      <c r="D2230" s="39"/>
    </row>
    <row r="2231" spans="3:4" x14ac:dyDescent="0.25">
      <c r="C2231" s="38"/>
      <c r="D2231" s="39"/>
    </row>
    <row r="2232" spans="3:4" x14ac:dyDescent="0.25">
      <c r="C2232" s="38"/>
      <c r="D2232" s="39"/>
    </row>
    <row r="2233" spans="3:4" x14ac:dyDescent="0.25">
      <c r="C2233" s="38"/>
      <c r="D2233" s="39"/>
    </row>
    <row r="2234" spans="3:4" x14ac:dyDescent="0.25">
      <c r="C2234" s="38"/>
      <c r="D2234" s="39"/>
    </row>
    <row r="2235" spans="3:4" x14ac:dyDescent="0.25">
      <c r="C2235" s="38"/>
      <c r="D2235" s="39"/>
    </row>
    <row r="2236" spans="3:4" x14ac:dyDescent="0.25">
      <c r="C2236" s="38"/>
      <c r="D2236" s="39"/>
    </row>
    <row r="2237" spans="3:4" x14ac:dyDescent="0.25">
      <c r="C2237" s="38"/>
      <c r="D2237" s="39"/>
    </row>
    <row r="2238" spans="3:4" x14ac:dyDescent="0.25">
      <c r="C2238" s="38"/>
      <c r="D2238" s="39"/>
    </row>
    <row r="2239" spans="3:4" x14ac:dyDescent="0.25">
      <c r="C2239" s="38"/>
      <c r="D2239" s="39"/>
    </row>
    <row r="2240" spans="3:4" x14ac:dyDescent="0.25">
      <c r="C2240" s="38"/>
      <c r="D2240" s="39"/>
    </row>
    <row r="2241" spans="3:4" x14ac:dyDescent="0.25">
      <c r="C2241" s="38"/>
      <c r="D2241" s="39"/>
    </row>
    <row r="2242" spans="3:4" x14ac:dyDescent="0.25">
      <c r="C2242" s="38"/>
      <c r="D2242" s="39"/>
    </row>
    <row r="2243" spans="3:4" x14ac:dyDescent="0.25">
      <c r="C2243" s="38"/>
      <c r="D2243" s="39"/>
    </row>
    <row r="2244" spans="3:4" x14ac:dyDescent="0.25">
      <c r="C2244" s="38"/>
      <c r="D2244" s="39"/>
    </row>
    <row r="2245" spans="3:4" x14ac:dyDescent="0.25">
      <c r="C2245" s="38"/>
      <c r="D2245" s="39"/>
    </row>
    <row r="2246" spans="3:4" x14ac:dyDescent="0.25">
      <c r="C2246" s="38"/>
      <c r="D2246" s="39"/>
    </row>
    <row r="2247" spans="3:4" x14ac:dyDescent="0.25">
      <c r="C2247" s="38"/>
      <c r="D2247" s="39"/>
    </row>
    <row r="2248" spans="3:4" x14ac:dyDescent="0.25">
      <c r="C2248" s="38"/>
      <c r="D2248" s="39"/>
    </row>
    <row r="2249" spans="3:4" x14ac:dyDescent="0.25">
      <c r="C2249" s="38"/>
      <c r="D2249" s="39"/>
    </row>
    <row r="2250" spans="3:4" x14ac:dyDescent="0.25">
      <c r="C2250" s="38"/>
      <c r="D2250" s="39"/>
    </row>
    <row r="2251" spans="3:4" x14ac:dyDescent="0.25">
      <c r="C2251" s="38"/>
      <c r="D2251" s="39"/>
    </row>
    <row r="2252" spans="3:4" x14ac:dyDescent="0.25">
      <c r="C2252" s="38"/>
      <c r="D2252" s="39"/>
    </row>
    <row r="2253" spans="3:4" x14ac:dyDescent="0.25">
      <c r="C2253" s="38"/>
      <c r="D2253" s="39"/>
    </row>
    <row r="2254" spans="3:4" x14ac:dyDescent="0.25">
      <c r="C2254" s="38"/>
      <c r="D2254" s="39"/>
    </row>
    <row r="2255" spans="3:4" x14ac:dyDescent="0.25">
      <c r="C2255" s="38"/>
      <c r="D2255" s="39"/>
    </row>
    <row r="2256" spans="3:4" x14ac:dyDescent="0.25">
      <c r="C2256" s="38"/>
      <c r="D2256" s="39"/>
    </row>
    <row r="2257" spans="3:4" x14ac:dyDescent="0.25">
      <c r="C2257" s="38"/>
      <c r="D2257" s="39"/>
    </row>
    <row r="2258" spans="3:4" x14ac:dyDescent="0.25">
      <c r="C2258" s="38"/>
      <c r="D2258" s="39"/>
    </row>
    <row r="2259" spans="3:4" x14ac:dyDescent="0.25">
      <c r="C2259" s="38"/>
      <c r="D2259" s="39"/>
    </row>
    <row r="2260" spans="3:4" x14ac:dyDescent="0.25">
      <c r="C2260" s="38"/>
      <c r="D2260" s="39"/>
    </row>
    <row r="2261" spans="3:4" x14ac:dyDescent="0.25">
      <c r="C2261" s="38"/>
      <c r="D2261" s="39"/>
    </row>
    <row r="2262" spans="3:4" x14ac:dyDescent="0.25">
      <c r="C2262" s="38"/>
      <c r="D2262" s="39"/>
    </row>
    <row r="2263" spans="3:4" x14ac:dyDescent="0.25">
      <c r="C2263" s="38"/>
      <c r="D2263" s="39"/>
    </row>
    <row r="2264" spans="3:4" x14ac:dyDescent="0.25">
      <c r="C2264" s="38"/>
      <c r="D2264" s="39"/>
    </row>
    <row r="2265" spans="3:4" x14ac:dyDescent="0.25">
      <c r="C2265" s="38"/>
      <c r="D2265" s="39"/>
    </row>
    <row r="2266" spans="3:4" x14ac:dyDescent="0.25">
      <c r="C2266" s="38"/>
      <c r="D2266" s="39"/>
    </row>
    <row r="2267" spans="3:4" x14ac:dyDescent="0.25">
      <c r="C2267" s="38"/>
      <c r="D2267" s="39"/>
    </row>
    <row r="2268" spans="3:4" x14ac:dyDescent="0.25">
      <c r="C2268" s="38"/>
      <c r="D2268" s="39"/>
    </row>
    <row r="2269" spans="3:4" x14ac:dyDescent="0.25">
      <c r="C2269" s="38"/>
      <c r="D2269" s="39"/>
    </row>
    <row r="2270" spans="3:4" x14ac:dyDescent="0.25">
      <c r="C2270" s="38"/>
      <c r="D2270" s="39"/>
    </row>
    <row r="2271" spans="3:4" x14ac:dyDescent="0.25">
      <c r="C2271" s="38"/>
      <c r="D2271" s="39"/>
    </row>
    <row r="2272" spans="3:4" x14ac:dyDescent="0.25">
      <c r="C2272" s="38"/>
      <c r="D2272" s="39"/>
    </row>
    <row r="2273" spans="3:4" x14ac:dyDescent="0.25">
      <c r="C2273" s="38"/>
      <c r="D2273" s="39"/>
    </row>
    <row r="2274" spans="3:4" x14ac:dyDescent="0.25">
      <c r="C2274" s="38"/>
      <c r="D2274" s="39"/>
    </row>
    <row r="2275" spans="3:4" x14ac:dyDescent="0.25">
      <c r="C2275" s="38"/>
      <c r="D2275" s="39"/>
    </row>
    <row r="2276" spans="3:4" x14ac:dyDescent="0.25">
      <c r="C2276" s="38"/>
      <c r="D2276" s="39"/>
    </row>
    <row r="2277" spans="3:4" x14ac:dyDescent="0.25">
      <c r="C2277" s="38"/>
      <c r="D2277" s="39"/>
    </row>
    <row r="2278" spans="3:4" x14ac:dyDescent="0.25">
      <c r="C2278" s="38"/>
      <c r="D2278" s="39"/>
    </row>
    <row r="2279" spans="3:4" x14ac:dyDescent="0.25">
      <c r="C2279" s="38"/>
      <c r="D2279" s="39"/>
    </row>
    <row r="2280" spans="3:4" x14ac:dyDescent="0.25">
      <c r="C2280" s="38"/>
      <c r="D2280" s="39"/>
    </row>
    <row r="2281" spans="3:4" x14ac:dyDescent="0.25">
      <c r="C2281" s="38"/>
      <c r="D2281" s="39"/>
    </row>
    <row r="2282" spans="3:4" x14ac:dyDescent="0.25">
      <c r="C2282" s="38"/>
      <c r="D2282" s="39"/>
    </row>
    <row r="2283" spans="3:4" x14ac:dyDescent="0.25">
      <c r="C2283" s="38"/>
      <c r="D2283" s="39"/>
    </row>
    <row r="2284" spans="3:4" x14ac:dyDescent="0.25">
      <c r="C2284" s="38"/>
      <c r="D2284" s="39"/>
    </row>
    <row r="2285" spans="3:4" x14ac:dyDescent="0.25">
      <c r="C2285" s="38"/>
      <c r="D2285" s="39"/>
    </row>
    <row r="2286" spans="3:4" x14ac:dyDescent="0.25">
      <c r="C2286" s="38"/>
      <c r="D2286" s="39"/>
    </row>
    <row r="2287" spans="3:4" x14ac:dyDescent="0.25">
      <c r="C2287" s="38"/>
      <c r="D2287" s="39"/>
    </row>
    <row r="2288" spans="3:4" x14ac:dyDescent="0.25">
      <c r="C2288" s="38"/>
      <c r="D2288" s="39"/>
    </row>
    <row r="2289" spans="3:4" x14ac:dyDescent="0.25">
      <c r="C2289" s="38"/>
      <c r="D2289" s="39"/>
    </row>
    <row r="2290" spans="3:4" x14ac:dyDescent="0.25">
      <c r="C2290" s="38"/>
      <c r="D2290" s="39"/>
    </row>
    <row r="2291" spans="3:4" x14ac:dyDescent="0.25">
      <c r="C2291" s="38"/>
      <c r="D2291" s="39"/>
    </row>
    <row r="2292" spans="3:4" x14ac:dyDescent="0.25">
      <c r="C2292" s="38"/>
      <c r="D2292" s="39"/>
    </row>
    <row r="2293" spans="3:4" x14ac:dyDescent="0.25">
      <c r="C2293" s="38"/>
      <c r="D2293" s="39"/>
    </row>
    <row r="2294" spans="3:4" x14ac:dyDescent="0.25">
      <c r="C2294" s="38"/>
      <c r="D2294" s="39"/>
    </row>
    <row r="2295" spans="3:4" x14ac:dyDescent="0.25">
      <c r="C2295" s="38"/>
      <c r="D2295" s="39"/>
    </row>
    <row r="2296" spans="3:4" x14ac:dyDescent="0.25">
      <c r="C2296" s="38"/>
      <c r="D2296" s="39"/>
    </row>
    <row r="2297" spans="3:4" x14ac:dyDescent="0.25">
      <c r="C2297" s="38"/>
      <c r="D2297" s="39"/>
    </row>
    <row r="2298" spans="3:4" x14ac:dyDescent="0.25">
      <c r="C2298" s="38"/>
      <c r="D2298" s="39"/>
    </row>
    <row r="2299" spans="3:4" x14ac:dyDescent="0.25">
      <c r="C2299" s="38"/>
      <c r="D2299" s="39"/>
    </row>
    <row r="2300" spans="3:4" x14ac:dyDescent="0.25">
      <c r="C2300" s="38"/>
      <c r="D2300" s="39"/>
    </row>
    <row r="2301" spans="3:4" x14ac:dyDescent="0.25">
      <c r="C2301" s="38"/>
      <c r="D2301" s="39"/>
    </row>
    <row r="2302" spans="3:4" x14ac:dyDescent="0.25">
      <c r="C2302" s="38"/>
      <c r="D2302" s="39"/>
    </row>
    <row r="2303" spans="3:4" x14ac:dyDescent="0.25">
      <c r="C2303" s="38"/>
      <c r="D2303" s="39"/>
    </row>
    <row r="2304" spans="3:4" x14ac:dyDescent="0.25">
      <c r="C2304" s="38"/>
      <c r="D2304" s="39"/>
    </row>
    <row r="2305" spans="3:4" x14ac:dyDescent="0.25">
      <c r="C2305" s="38"/>
      <c r="D2305" s="39"/>
    </row>
    <row r="2306" spans="3:4" x14ac:dyDescent="0.25">
      <c r="C2306" s="38"/>
      <c r="D2306" s="39"/>
    </row>
    <row r="2307" spans="3:4" x14ac:dyDescent="0.25">
      <c r="C2307" s="38"/>
      <c r="D2307" s="39"/>
    </row>
    <row r="2308" spans="3:4" x14ac:dyDescent="0.25">
      <c r="C2308" s="38"/>
      <c r="D2308" s="39"/>
    </row>
    <row r="2309" spans="3:4" x14ac:dyDescent="0.25">
      <c r="C2309" s="38"/>
      <c r="D2309" s="39"/>
    </row>
    <row r="2310" spans="3:4" x14ac:dyDescent="0.25">
      <c r="C2310" s="38"/>
      <c r="D2310" s="39"/>
    </row>
    <row r="2311" spans="3:4" x14ac:dyDescent="0.25">
      <c r="C2311" s="38"/>
      <c r="D2311" s="39"/>
    </row>
    <row r="2312" spans="3:4" x14ac:dyDescent="0.25">
      <c r="C2312" s="38"/>
      <c r="D2312" s="39"/>
    </row>
    <row r="2313" spans="3:4" x14ac:dyDescent="0.25">
      <c r="C2313" s="38"/>
      <c r="D2313" s="39"/>
    </row>
    <row r="2314" spans="3:4" x14ac:dyDescent="0.25">
      <c r="C2314" s="38"/>
      <c r="D2314" s="39"/>
    </row>
    <row r="2315" spans="3:4" x14ac:dyDescent="0.25">
      <c r="C2315" s="38"/>
      <c r="D2315" s="39"/>
    </row>
    <row r="2316" spans="3:4" x14ac:dyDescent="0.25">
      <c r="C2316" s="38"/>
      <c r="D2316" s="39"/>
    </row>
    <row r="2317" spans="3:4" x14ac:dyDescent="0.25">
      <c r="C2317" s="38"/>
      <c r="D2317" s="39"/>
    </row>
    <row r="2318" spans="3:4" x14ac:dyDescent="0.25">
      <c r="C2318" s="38"/>
      <c r="D2318" s="39"/>
    </row>
    <row r="2319" spans="3:4" x14ac:dyDescent="0.25">
      <c r="C2319" s="38"/>
      <c r="D2319" s="39"/>
    </row>
    <row r="2320" spans="3:4" x14ac:dyDescent="0.25">
      <c r="C2320" s="38"/>
      <c r="D2320" s="39"/>
    </row>
    <row r="2321" spans="3:4" x14ac:dyDescent="0.25">
      <c r="C2321" s="38"/>
      <c r="D2321" s="39"/>
    </row>
    <row r="2322" spans="3:4" x14ac:dyDescent="0.25">
      <c r="C2322" s="38"/>
      <c r="D2322" s="39"/>
    </row>
    <row r="2323" spans="3:4" x14ac:dyDescent="0.25">
      <c r="C2323" s="38"/>
      <c r="D2323" s="39"/>
    </row>
    <row r="2324" spans="3:4" x14ac:dyDescent="0.25">
      <c r="C2324" s="38"/>
      <c r="D2324" s="39"/>
    </row>
    <row r="2325" spans="3:4" x14ac:dyDescent="0.25">
      <c r="C2325" s="38"/>
      <c r="D2325" s="39"/>
    </row>
    <row r="2326" spans="3:4" x14ac:dyDescent="0.25">
      <c r="C2326" s="38"/>
      <c r="D2326" s="39"/>
    </row>
    <row r="2327" spans="3:4" x14ac:dyDescent="0.25">
      <c r="C2327" s="38"/>
      <c r="D2327" s="39"/>
    </row>
    <row r="2328" spans="3:4" x14ac:dyDescent="0.25">
      <c r="C2328" s="38"/>
      <c r="D2328" s="39"/>
    </row>
    <row r="2329" spans="3:4" x14ac:dyDescent="0.25">
      <c r="C2329" s="38"/>
      <c r="D2329" s="39"/>
    </row>
    <row r="2330" spans="3:4" x14ac:dyDescent="0.25">
      <c r="C2330" s="38"/>
      <c r="D2330" s="39"/>
    </row>
    <row r="2331" spans="3:4" x14ac:dyDescent="0.25">
      <c r="C2331" s="38"/>
      <c r="D2331" s="39"/>
    </row>
    <row r="2332" spans="3:4" x14ac:dyDescent="0.25">
      <c r="C2332" s="38"/>
      <c r="D2332" s="39"/>
    </row>
    <row r="2333" spans="3:4" x14ac:dyDescent="0.25">
      <c r="C2333" s="38"/>
      <c r="D2333" s="39"/>
    </row>
    <row r="2334" spans="3:4" x14ac:dyDescent="0.25">
      <c r="C2334" s="38"/>
      <c r="D2334" s="39"/>
    </row>
    <row r="2335" spans="3:4" x14ac:dyDescent="0.25">
      <c r="C2335" s="38"/>
      <c r="D2335" s="39"/>
    </row>
    <row r="2336" spans="3:4" x14ac:dyDescent="0.25">
      <c r="C2336" s="38"/>
      <c r="D2336" s="39"/>
    </row>
    <row r="2337" spans="3:4" x14ac:dyDescent="0.25">
      <c r="C2337" s="38"/>
      <c r="D2337" s="39"/>
    </row>
    <row r="2338" spans="3:4" x14ac:dyDescent="0.25">
      <c r="C2338" s="38"/>
      <c r="D2338" s="39"/>
    </row>
    <row r="2339" spans="3:4" x14ac:dyDescent="0.25">
      <c r="C2339" s="38"/>
      <c r="D2339" s="39"/>
    </row>
    <row r="2340" spans="3:4" x14ac:dyDescent="0.25">
      <c r="C2340" s="38"/>
      <c r="D2340" s="39"/>
    </row>
    <row r="2341" spans="3:4" x14ac:dyDescent="0.25">
      <c r="C2341" s="38"/>
      <c r="D2341" s="39"/>
    </row>
    <row r="2342" spans="3:4" x14ac:dyDescent="0.25">
      <c r="C2342" s="38"/>
      <c r="D2342" s="39"/>
    </row>
    <row r="2343" spans="3:4" x14ac:dyDescent="0.25">
      <c r="C2343" s="38"/>
      <c r="D2343" s="39"/>
    </row>
    <row r="2344" spans="3:4" x14ac:dyDescent="0.25">
      <c r="C2344" s="38"/>
      <c r="D2344" s="39"/>
    </row>
    <row r="2345" spans="3:4" x14ac:dyDescent="0.25">
      <c r="C2345" s="38"/>
      <c r="D2345" s="39"/>
    </row>
    <row r="2346" spans="3:4" x14ac:dyDescent="0.25">
      <c r="C2346" s="38"/>
      <c r="D2346" s="39"/>
    </row>
    <row r="2347" spans="3:4" x14ac:dyDescent="0.25">
      <c r="C2347" s="38"/>
      <c r="D2347" s="39"/>
    </row>
    <row r="2348" spans="3:4" x14ac:dyDescent="0.25">
      <c r="C2348" s="38"/>
      <c r="D2348" s="39"/>
    </row>
    <row r="2349" spans="3:4" x14ac:dyDescent="0.25">
      <c r="C2349" s="38"/>
      <c r="D2349" s="39"/>
    </row>
    <row r="2350" spans="3:4" x14ac:dyDescent="0.25">
      <c r="C2350" s="38"/>
      <c r="D2350" s="39"/>
    </row>
    <row r="2351" spans="3:4" x14ac:dyDescent="0.25">
      <c r="C2351" s="38"/>
      <c r="D2351" s="39"/>
    </row>
    <row r="2352" spans="3:4" x14ac:dyDescent="0.25">
      <c r="C2352" s="38"/>
      <c r="D2352" s="39"/>
    </row>
    <row r="2353" spans="3:4" x14ac:dyDescent="0.25">
      <c r="C2353" s="38"/>
      <c r="D2353" s="39"/>
    </row>
    <row r="2354" spans="3:4" x14ac:dyDescent="0.25">
      <c r="C2354" s="38"/>
      <c r="D2354" s="39"/>
    </row>
    <row r="2355" spans="3:4" x14ac:dyDescent="0.25">
      <c r="C2355" s="38"/>
      <c r="D2355" s="39"/>
    </row>
    <row r="2356" spans="3:4" x14ac:dyDescent="0.25">
      <c r="C2356" s="38"/>
      <c r="D2356" s="39"/>
    </row>
    <row r="2357" spans="3:4" x14ac:dyDescent="0.25">
      <c r="C2357" s="38"/>
      <c r="D2357" s="39"/>
    </row>
    <row r="2358" spans="3:4" x14ac:dyDescent="0.25">
      <c r="C2358" s="38"/>
      <c r="D2358" s="39"/>
    </row>
    <row r="2359" spans="3:4" x14ac:dyDescent="0.25">
      <c r="C2359" s="38"/>
      <c r="D2359" s="39"/>
    </row>
    <row r="2360" spans="3:4" x14ac:dyDescent="0.25">
      <c r="C2360" s="38"/>
      <c r="D2360" s="39"/>
    </row>
    <row r="2361" spans="3:4" x14ac:dyDescent="0.25">
      <c r="C2361" s="38"/>
      <c r="D2361" s="39"/>
    </row>
    <row r="2362" spans="3:4" x14ac:dyDescent="0.25">
      <c r="C2362" s="38"/>
      <c r="D2362" s="39"/>
    </row>
    <row r="2363" spans="3:4" x14ac:dyDescent="0.25">
      <c r="C2363" s="38"/>
      <c r="D2363" s="39"/>
    </row>
    <row r="2364" spans="3:4" x14ac:dyDescent="0.25">
      <c r="C2364" s="38"/>
      <c r="D2364" s="39"/>
    </row>
    <row r="2365" spans="3:4" x14ac:dyDescent="0.25">
      <c r="C2365" s="38"/>
      <c r="D2365" s="39"/>
    </row>
    <row r="2366" spans="3:4" x14ac:dyDescent="0.25">
      <c r="C2366" s="38"/>
      <c r="D2366" s="39"/>
    </row>
    <row r="2367" spans="3:4" x14ac:dyDescent="0.25">
      <c r="C2367" s="38"/>
      <c r="D2367" s="39"/>
    </row>
    <row r="2368" spans="3:4" x14ac:dyDescent="0.25">
      <c r="C2368" s="38"/>
      <c r="D2368" s="39"/>
    </row>
    <row r="2369" spans="3:4" x14ac:dyDescent="0.25">
      <c r="C2369" s="38"/>
      <c r="D2369" s="39"/>
    </row>
    <row r="2370" spans="3:4" x14ac:dyDescent="0.25">
      <c r="C2370" s="38"/>
      <c r="D2370" s="39"/>
    </row>
    <row r="2371" spans="3:4" x14ac:dyDescent="0.25">
      <c r="C2371" s="38"/>
      <c r="D2371" s="39"/>
    </row>
    <row r="2372" spans="3:4" x14ac:dyDescent="0.25">
      <c r="C2372" s="38"/>
      <c r="D2372" s="39"/>
    </row>
    <row r="2373" spans="3:4" x14ac:dyDescent="0.25">
      <c r="C2373" s="38"/>
      <c r="D2373" s="39"/>
    </row>
    <row r="2374" spans="3:4" x14ac:dyDescent="0.25">
      <c r="C2374" s="38"/>
      <c r="D2374" s="39"/>
    </row>
    <row r="2375" spans="3:4" x14ac:dyDescent="0.25">
      <c r="C2375" s="38"/>
      <c r="D2375" s="39"/>
    </row>
    <row r="2376" spans="3:4" x14ac:dyDescent="0.25">
      <c r="C2376" s="38"/>
      <c r="D2376" s="39"/>
    </row>
    <row r="2377" spans="3:4" x14ac:dyDescent="0.25">
      <c r="C2377" s="38"/>
      <c r="D2377" s="39"/>
    </row>
    <row r="2378" spans="3:4" x14ac:dyDescent="0.25">
      <c r="C2378" s="38"/>
      <c r="D2378" s="39"/>
    </row>
    <row r="2379" spans="3:4" x14ac:dyDescent="0.25">
      <c r="C2379" s="38"/>
      <c r="D2379" s="39"/>
    </row>
    <row r="2380" spans="3:4" x14ac:dyDescent="0.25">
      <c r="C2380" s="38"/>
      <c r="D2380" s="39"/>
    </row>
    <row r="2381" spans="3:4" x14ac:dyDescent="0.25">
      <c r="C2381" s="38"/>
      <c r="D2381" s="39"/>
    </row>
    <row r="2382" spans="3:4" x14ac:dyDescent="0.25">
      <c r="C2382" s="38"/>
      <c r="D2382" s="39"/>
    </row>
    <row r="2383" spans="3:4" x14ac:dyDescent="0.25">
      <c r="C2383" s="38"/>
      <c r="D2383" s="39"/>
    </row>
    <row r="2384" spans="3:4" x14ac:dyDescent="0.25">
      <c r="C2384" s="38"/>
      <c r="D2384" s="39"/>
    </row>
    <row r="2385" spans="3:4" x14ac:dyDescent="0.25">
      <c r="C2385" s="38"/>
      <c r="D2385" s="39"/>
    </row>
    <row r="2386" spans="3:4" x14ac:dyDescent="0.25">
      <c r="C2386" s="38"/>
      <c r="D2386" s="39"/>
    </row>
    <row r="2387" spans="3:4" x14ac:dyDescent="0.25">
      <c r="C2387" s="38"/>
      <c r="D2387" s="39"/>
    </row>
    <row r="2388" spans="3:4" x14ac:dyDescent="0.25">
      <c r="C2388" s="38"/>
      <c r="D2388" s="39"/>
    </row>
    <row r="2389" spans="3:4" x14ac:dyDescent="0.25">
      <c r="C2389" s="38"/>
      <c r="D2389" s="39"/>
    </row>
    <row r="2390" spans="3:4" x14ac:dyDescent="0.25">
      <c r="C2390" s="38"/>
      <c r="D2390" s="39"/>
    </row>
    <row r="2391" spans="3:4" x14ac:dyDescent="0.25">
      <c r="C2391" s="38"/>
      <c r="D2391" s="39"/>
    </row>
    <row r="2392" spans="3:4" x14ac:dyDescent="0.25">
      <c r="C2392" s="38"/>
      <c r="D2392" s="39"/>
    </row>
    <row r="2393" spans="3:4" x14ac:dyDescent="0.25">
      <c r="C2393" s="38"/>
      <c r="D2393" s="39"/>
    </row>
    <row r="2394" spans="3:4" x14ac:dyDescent="0.25">
      <c r="C2394" s="38"/>
      <c r="D2394" s="39"/>
    </row>
    <row r="2395" spans="3:4" x14ac:dyDescent="0.25">
      <c r="C2395" s="38"/>
      <c r="D2395" s="39"/>
    </row>
    <row r="2396" spans="3:4" x14ac:dyDescent="0.25">
      <c r="C2396" s="38"/>
      <c r="D2396" s="39"/>
    </row>
    <row r="2397" spans="3:4" x14ac:dyDescent="0.25">
      <c r="C2397" s="38"/>
      <c r="D2397" s="39"/>
    </row>
    <row r="2398" spans="3:4" x14ac:dyDescent="0.25">
      <c r="C2398" s="38"/>
      <c r="D2398" s="39"/>
    </row>
    <row r="2399" spans="3:4" x14ac:dyDescent="0.25">
      <c r="C2399" s="38"/>
      <c r="D2399" s="39"/>
    </row>
    <row r="2400" spans="3:4" x14ac:dyDescent="0.25">
      <c r="C2400" s="38"/>
      <c r="D2400" s="39"/>
    </row>
    <row r="2401" spans="3:4" x14ac:dyDescent="0.25">
      <c r="C2401" s="38"/>
      <c r="D2401" s="39"/>
    </row>
    <row r="2402" spans="3:4" x14ac:dyDescent="0.25">
      <c r="C2402" s="38"/>
      <c r="D2402" s="39"/>
    </row>
    <row r="2403" spans="3:4" x14ac:dyDescent="0.25">
      <c r="C2403" s="38"/>
      <c r="D2403" s="39"/>
    </row>
    <row r="2404" spans="3:4" x14ac:dyDescent="0.25">
      <c r="C2404" s="38"/>
      <c r="D2404" s="39"/>
    </row>
    <row r="2405" spans="3:4" x14ac:dyDescent="0.25">
      <c r="C2405" s="38"/>
      <c r="D2405" s="39"/>
    </row>
    <row r="2406" spans="3:4" x14ac:dyDescent="0.25">
      <c r="C2406" s="38"/>
      <c r="D2406" s="39"/>
    </row>
    <row r="2407" spans="3:4" x14ac:dyDescent="0.25">
      <c r="C2407" s="38"/>
      <c r="D2407" s="39"/>
    </row>
    <row r="2408" spans="3:4" x14ac:dyDescent="0.25">
      <c r="C2408" s="38"/>
      <c r="D2408" s="39"/>
    </row>
    <row r="2409" spans="3:4" x14ac:dyDescent="0.25">
      <c r="C2409" s="38"/>
      <c r="D2409" s="39"/>
    </row>
    <row r="2410" spans="3:4" x14ac:dyDescent="0.25">
      <c r="C2410" s="38"/>
      <c r="D2410" s="39"/>
    </row>
    <row r="2411" spans="3:4" x14ac:dyDescent="0.25">
      <c r="C2411" s="38"/>
      <c r="D2411" s="39"/>
    </row>
    <row r="2412" spans="3:4" x14ac:dyDescent="0.25">
      <c r="C2412" s="38"/>
      <c r="D2412" s="39"/>
    </row>
    <row r="2413" spans="3:4" x14ac:dyDescent="0.25">
      <c r="C2413" s="38"/>
      <c r="D2413" s="39"/>
    </row>
    <row r="2414" spans="3:4" x14ac:dyDescent="0.25">
      <c r="C2414" s="38"/>
      <c r="D2414" s="39"/>
    </row>
    <row r="2415" spans="3:4" x14ac:dyDescent="0.25">
      <c r="C2415" s="38"/>
      <c r="D2415" s="39"/>
    </row>
    <row r="2416" spans="3:4" x14ac:dyDescent="0.25">
      <c r="C2416" s="38"/>
      <c r="D2416" s="39"/>
    </row>
    <row r="2417" spans="3:4" x14ac:dyDescent="0.25">
      <c r="C2417" s="38"/>
      <c r="D2417" s="39"/>
    </row>
    <row r="2418" spans="3:4" x14ac:dyDescent="0.25">
      <c r="C2418" s="38"/>
      <c r="D2418" s="39"/>
    </row>
    <row r="2419" spans="3:4" x14ac:dyDescent="0.25">
      <c r="C2419" s="38"/>
      <c r="D2419" s="39"/>
    </row>
    <row r="2420" spans="3:4" x14ac:dyDescent="0.25">
      <c r="C2420" s="38"/>
      <c r="D2420" s="39"/>
    </row>
    <row r="2421" spans="3:4" x14ac:dyDescent="0.25">
      <c r="C2421" s="38"/>
      <c r="D2421" s="39"/>
    </row>
    <row r="2422" spans="3:4" x14ac:dyDescent="0.25">
      <c r="C2422" s="38"/>
      <c r="D2422" s="39"/>
    </row>
    <row r="2423" spans="3:4" x14ac:dyDescent="0.25">
      <c r="C2423" s="38"/>
      <c r="D2423" s="39"/>
    </row>
    <row r="2424" spans="3:4" x14ac:dyDescent="0.25">
      <c r="C2424" s="38"/>
      <c r="D2424" s="39"/>
    </row>
    <row r="2425" spans="3:4" x14ac:dyDescent="0.25">
      <c r="C2425" s="38"/>
      <c r="D2425" s="39"/>
    </row>
    <row r="2426" spans="3:4" x14ac:dyDescent="0.25">
      <c r="C2426" s="38"/>
      <c r="D2426" s="39"/>
    </row>
    <row r="2427" spans="3:4" x14ac:dyDescent="0.25">
      <c r="C2427" s="38"/>
      <c r="D2427" s="39"/>
    </row>
    <row r="2428" spans="3:4" x14ac:dyDescent="0.25">
      <c r="C2428" s="38"/>
      <c r="D2428" s="39"/>
    </row>
    <row r="2429" spans="3:4" x14ac:dyDescent="0.25">
      <c r="C2429" s="38"/>
      <c r="D2429" s="39"/>
    </row>
    <row r="2430" spans="3:4" x14ac:dyDescent="0.25">
      <c r="C2430" s="38"/>
      <c r="D2430" s="39"/>
    </row>
    <row r="2431" spans="3:4" x14ac:dyDescent="0.25">
      <c r="C2431" s="38"/>
      <c r="D2431" s="39"/>
    </row>
    <row r="2432" spans="3:4" x14ac:dyDescent="0.25">
      <c r="C2432" s="38"/>
      <c r="D2432" s="39"/>
    </row>
    <row r="2433" spans="3:4" x14ac:dyDescent="0.25">
      <c r="C2433" s="38"/>
      <c r="D2433" s="39"/>
    </row>
    <row r="2434" spans="3:4" x14ac:dyDescent="0.25">
      <c r="C2434" s="38"/>
      <c r="D2434" s="39"/>
    </row>
    <row r="2435" spans="3:4" x14ac:dyDescent="0.25">
      <c r="C2435" s="38"/>
      <c r="D2435" s="39"/>
    </row>
    <row r="2436" spans="3:4" x14ac:dyDescent="0.25">
      <c r="C2436" s="38"/>
      <c r="D2436" s="39"/>
    </row>
    <row r="2437" spans="3:4" x14ac:dyDescent="0.25">
      <c r="C2437" s="38"/>
      <c r="D2437" s="39"/>
    </row>
    <row r="2438" spans="3:4" x14ac:dyDescent="0.25">
      <c r="C2438" s="38"/>
      <c r="D2438" s="39"/>
    </row>
    <row r="2439" spans="3:4" x14ac:dyDescent="0.25">
      <c r="C2439" s="38"/>
      <c r="D2439" s="39"/>
    </row>
    <row r="2440" spans="3:4" x14ac:dyDescent="0.25">
      <c r="C2440" s="38"/>
      <c r="D2440" s="39"/>
    </row>
    <row r="2441" spans="3:4" x14ac:dyDescent="0.25">
      <c r="C2441" s="38"/>
      <c r="D2441" s="39"/>
    </row>
    <row r="2442" spans="3:4" x14ac:dyDescent="0.25">
      <c r="C2442" s="38"/>
      <c r="D2442" s="39"/>
    </row>
    <row r="2443" spans="3:4" x14ac:dyDescent="0.25">
      <c r="C2443" s="38"/>
      <c r="D2443" s="39"/>
    </row>
    <row r="2444" spans="3:4" x14ac:dyDescent="0.25">
      <c r="C2444" s="38"/>
      <c r="D2444" s="39"/>
    </row>
    <row r="2445" spans="3:4" x14ac:dyDescent="0.25">
      <c r="C2445" s="38"/>
      <c r="D2445" s="39"/>
    </row>
    <row r="2446" spans="3:4" x14ac:dyDescent="0.25">
      <c r="C2446" s="38"/>
      <c r="D2446" s="39"/>
    </row>
    <row r="2447" spans="3:4" x14ac:dyDescent="0.25">
      <c r="C2447" s="38"/>
      <c r="D2447" s="39"/>
    </row>
    <row r="2448" spans="3:4" x14ac:dyDescent="0.25">
      <c r="C2448" s="38"/>
      <c r="D2448" s="39"/>
    </row>
    <row r="2449" spans="3:4" x14ac:dyDescent="0.25">
      <c r="C2449" s="38"/>
      <c r="D2449" s="39"/>
    </row>
    <row r="2450" spans="3:4" x14ac:dyDescent="0.25">
      <c r="C2450" s="38"/>
      <c r="D2450" s="39"/>
    </row>
    <row r="2451" spans="3:4" x14ac:dyDescent="0.25">
      <c r="C2451" s="38"/>
      <c r="D2451" s="39"/>
    </row>
    <row r="2452" spans="3:4" x14ac:dyDescent="0.25">
      <c r="C2452" s="38"/>
      <c r="D2452" s="39"/>
    </row>
    <row r="2453" spans="3:4" x14ac:dyDescent="0.25">
      <c r="C2453" s="38"/>
      <c r="D2453" s="39"/>
    </row>
    <row r="2454" spans="3:4" x14ac:dyDescent="0.25">
      <c r="C2454" s="38"/>
      <c r="D2454" s="39"/>
    </row>
    <row r="2455" spans="3:4" x14ac:dyDescent="0.25">
      <c r="C2455" s="38"/>
      <c r="D2455" s="39"/>
    </row>
    <row r="2456" spans="3:4" x14ac:dyDescent="0.25">
      <c r="C2456" s="38"/>
      <c r="D2456" s="39"/>
    </row>
    <row r="2457" spans="3:4" x14ac:dyDescent="0.25">
      <c r="C2457" s="38"/>
      <c r="D2457" s="39"/>
    </row>
    <row r="2458" spans="3:4" x14ac:dyDescent="0.25">
      <c r="C2458" s="38"/>
      <c r="D2458" s="39"/>
    </row>
    <row r="2459" spans="3:4" x14ac:dyDescent="0.25">
      <c r="C2459" s="38"/>
      <c r="D2459" s="39"/>
    </row>
    <row r="2460" spans="3:4" x14ac:dyDescent="0.25">
      <c r="C2460" s="38"/>
      <c r="D2460" s="39"/>
    </row>
    <row r="2461" spans="3:4" x14ac:dyDescent="0.25">
      <c r="C2461" s="38"/>
      <c r="D2461" s="39"/>
    </row>
    <row r="2462" spans="3:4" x14ac:dyDescent="0.25">
      <c r="C2462" s="38"/>
      <c r="D2462" s="39"/>
    </row>
    <row r="2463" spans="3:4" x14ac:dyDescent="0.25">
      <c r="C2463" s="38"/>
      <c r="D2463" s="39"/>
    </row>
    <row r="2464" spans="3:4" x14ac:dyDescent="0.25">
      <c r="C2464" s="38"/>
      <c r="D2464" s="39"/>
    </row>
    <row r="2465" spans="3:4" x14ac:dyDescent="0.25">
      <c r="C2465" s="38"/>
      <c r="D2465" s="39"/>
    </row>
    <row r="2466" spans="3:4" x14ac:dyDescent="0.25">
      <c r="C2466" s="38"/>
      <c r="D2466" s="39"/>
    </row>
    <row r="2467" spans="3:4" x14ac:dyDescent="0.25">
      <c r="C2467" s="38"/>
      <c r="D2467" s="39"/>
    </row>
    <row r="2468" spans="3:4" x14ac:dyDescent="0.25">
      <c r="C2468" s="38"/>
      <c r="D2468" s="39"/>
    </row>
    <row r="2469" spans="3:4" x14ac:dyDescent="0.25">
      <c r="C2469" s="38"/>
      <c r="D2469" s="39"/>
    </row>
    <row r="2470" spans="3:4" x14ac:dyDescent="0.25">
      <c r="C2470" s="38"/>
      <c r="D2470" s="39"/>
    </row>
    <row r="2471" spans="3:4" x14ac:dyDescent="0.25">
      <c r="C2471" s="38"/>
      <c r="D2471" s="39"/>
    </row>
    <row r="2472" spans="3:4" x14ac:dyDescent="0.25">
      <c r="C2472" s="38"/>
      <c r="D2472" s="39"/>
    </row>
    <row r="2473" spans="3:4" x14ac:dyDescent="0.25">
      <c r="C2473" s="38"/>
      <c r="D2473" s="39"/>
    </row>
    <row r="2474" spans="3:4" x14ac:dyDescent="0.25">
      <c r="C2474" s="38"/>
      <c r="D2474" s="39"/>
    </row>
    <row r="2475" spans="3:4" x14ac:dyDescent="0.25">
      <c r="C2475" s="38"/>
      <c r="D2475" s="39"/>
    </row>
    <row r="2476" spans="3:4" x14ac:dyDescent="0.25">
      <c r="C2476" s="38"/>
      <c r="D2476" s="39"/>
    </row>
    <row r="2477" spans="3:4" x14ac:dyDescent="0.25">
      <c r="C2477" s="38"/>
      <c r="D2477" s="39"/>
    </row>
    <row r="2478" spans="3:4" x14ac:dyDescent="0.25">
      <c r="C2478" s="38"/>
      <c r="D2478" s="39"/>
    </row>
    <row r="2479" spans="3:4" x14ac:dyDescent="0.25">
      <c r="C2479" s="38"/>
      <c r="D2479" s="39"/>
    </row>
    <row r="2480" spans="3:4" x14ac:dyDescent="0.25">
      <c r="C2480" s="38"/>
      <c r="D2480" s="39"/>
    </row>
    <row r="2481" spans="3:4" x14ac:dyDescent="0.25">
      <c r="C2481" s="38"/>
      <c r="D2481" s="39"/>
    </row>
    <row r="2482" spans="3:4" x14ac:dyDescent="0.25">
      <c r="C2482" s="38"/>
      <c r="D2482" s="39"/>
    </row>
    <row r="2483" spans="3:4" x14ac:dyDescent="0.25">
      <c r="C2483" s="38"/>
      <c r="D2483" s="39"/>
    </row>
    <row r="2484" spans="3:4" x14ac:dyDescent="0.25">
      <c r="C2484" s="38"/>
      <c r="D2484" s="39"/>
    </row>
    <row r="2485" spans="3:4" x14ac:dyDescent="0.25">
      <c r="C2485" s="38"/>
      <c r="D2485" s="39"/>
    </row>
    <row r="2486" spans="3:4" x14ac:dyDescent="0.25">
      <c r="C2486" s="38"/>
      <c r="D2486" s="39"/>
    </row>
    <row r="2487" spans="3:4" x14ac:dyDescent="0.25">
      <c r="C2487" s="38"/>
      <c r="D2487" s="39"/>
    </row>
    <row r="2488" spans="3:4" x14ac:dyDescent="0.25">
      <c r="C2488" s="38"/>
      <c r="D2488" s="39"/>
    </row>
    <row r="2489" spans="3:4" x14ac:dyDescent="0.25">
      <c r="C2489" s="38"/>
      <c r="D2489" s="39"/>
    </row>
    <row r="2490" spans="3:4" x14ac:dyDescent="0.25">
      <c r="C2490" s="38"/>
      <c r="D2490" s="39"/>
    </row>
    <row r="2491" spans="3:4" x14ac:dyDescent="0.25">
      <c r="C2491" s="38"/>
      <c r="D2491" s="39"/>
    </row>
    <row r="2492" spans="3:4" x14ac:dyDescent="0.25">
      <c r="C2492" s="38"/>
      <c r="D2492" s="39"/>
    </row>
    <row r="2493" spans="3:4" x14ac:dyDescent="0.25">
      <c r="C2493" s="38"/>
      <c r="D2493" s="39"/>
    </row>
    <row r="2494" spans="3:4" x14ac:dyDescent="0.25">
      <c r="C2494" s="38"/>
      <c r="D2494" s="39"/>
    </row>
    <row r="2495" spans="3:4" x14ac:dyDescent="0.25">
      <c r="C2495" s="38"/>
      <c r="D2495" s="39"/>
    </row>
    <row r="2496" spans="3:4" x14ac:dyDescent="0.25">
      <c r="C2496" s="38"/>
      <c r="D2496" s="39"/>
    </row>
    <row r="2497" spans="3:4" x14ac:dyDescent="0.25">
      <c r="C2497" s="38"/>
      <c r="D2497" s="39"/>
    </row>
    <row r="2498" spans="3:4" x14ac:dyDescent="0.25">
      <c r="C2498" s="38"/>
      <c r="D2498" s="39"/>
    </row>
    <row r="2499" spans="3:4" x14ac:dyDescent="0.25">
      <c r="C2499" s="38"/>
      <c r="D2499" s="39"/>
    </row>
    <row r="2500" spans="3:4" x14ac:dyDescent="0.25">
      <c r="C2500" s="38"/>
      <c r="D2500" s="39"/>
    </row>
    <row r="2501" spans="3:4" x14ac:dyDescent="0.25">
      <c r="C2501" s="38"/>
      <c r="D2501" s="39"/>
    </row>
    <row r="2502" spans="3:4" x14ac:dyDescent="0.25">
      <c r="C2502" s="38"/>
      <c r="D2502" s="39"/>
    </row>
    <row r="2503" spans="3:4" x14ac:dyDescent="0.25">
      <c r="C2503" s="38"/>
      <c r="D2503" s="39"/>
    </row>
    <row r="2504" spans="3:4" x14ac:dyDescent="0.25">
      <c r="C2504" s="38"/>
      <c r="D2504" s="39"/>
    </row>
    <row r="2505" spans="3:4" x14ac:dyDescent="0.25">
      <c r="C2505" s="38"/>
      <c r="D2505" s="39"/>
    </row>
    <row r="2506" spans="3:4" x14ac:dyDescent="0.25">
      <c r="C2506" s="38"/>
      <c r="D2506" s="39"/>
    </row>
    <row r="2507" spans="3:4" x14ac:dyDescent="0.25">
      <c r="C2507" s="38"/>
      <c r="D2507" s="39"/>
    </row>
    <row r="2508" spans="3:4" x14ac:dyDescent="0.25">
      <c r="C2508" s="38"/>
      <c r="D2508" s="39"/>
    </row>
    <row r="2509" spans="3:4" x14ac:dyDescent="0.25">
      <c r="C2509" s="38"/>
      <c r="D2509" s="39"/>
    </row>
    <row r="2510" spans="3:4" x14ac:dyDescent="0.25">
      <c r="C2510" s="38"/>
      <c r="D2510" s="39"/>
    </row>
    <row r="2511" spans="3:4" x14ac:dyDescent="0.25">
      <c r="C2511" s="38"/>
      <c r="D2511" s="39"/>
    </row>
    <row r="2512" spans="3:4" x14ac:dyDescent="0.25">
      <c r="C2512" s="38"/>
      <c r="D2512" s="39"/>
    </row>
    <row r="2513" spans="3:4" x14ac:dyDescent="0.25">
      <c r="C2513" s="38"/>
      <c r="D2513" s="39"/>
    </row>
    <row r="2514" spans="3:4" x14ac:dyDescent="0.25">
      <c r="C2514" s="38"/>
      <c r="D2514" s="39"/>
    </row>
    <row r="2515" spans="3:4" x14ac:dyDescent="0.25">
      <c r="C2515" s="38"/>
      <c r="D2515" s="39"/>
    </row>
    <row r="2516" spans="3:4" x14ac:dyDescent="0.25">
      <c r="C2516" s="38"/>
      <c r="D2516" s="39"/>
    </row>
    <row r="2517" spans="3:4" x14ac:dyDescent="0.25">
      <c r="C2517" s="38"/>
      <c r="D2517" s="39"/>
    </row>
    <row r="2518" spans="3:4" x14ac:dyDescent="0.25">
      <c r="C2518" s="38"/>
      <c r="D2518" s="39"/>
    </row>
    <row r="2519" spans="3:4" x14ac:dyDescent="0.25">
      <c r="C2519" s="38"/>
      <c r="D2519" s="39"/>
    </row>
    <row r="2520" spans="3:4" x14ac:dyDescent="0.25">
      <c r="C2520" s="38"/>
      <c r="D2520" s="39"/>
    </row>
    <row r="2521" spans="3:4" x14ac:dyDescent="0.25">
      <c r="C2521" s="38"/>
      <c r="D2521" s="39"/>
    </row>
    <row r="2522" spans="3:4" x14ac:dyDescent="0.25">
      <c r="C2522" s="38"/>
      <c r="D2522" s="39"/>
    </row>
    <row r="2523" spans="3:4" x14ac:dyDescent="0.25">
      <c r="C2523" s="38"/>
      <c r="D2523" s="39"/>
    </row>
    <row r="2524" spans="3:4" x14ac:dyDescent="0.25">
      <c r="C2524" s="38"/>
      <c r="D2524" s="39"/>
    </row>
    <row r="2525" spans="3:4" x14ac:dyDescent="0.25">
      <c r="C2525" s="38"/>
      <c r="D2525" s="39"/>
    </row>
    <row r="2526" spans="3:4" x14ac:dyDescent="0.25">
      <c r="C2526" s="38"/>
      <c r="D2526" s="39"/>
    </row>
    <row r="2527" spans="3:4" x14ac:dyDescent="0.25">
      <c r="C2527" s="38"/>
      <c r="D2527" s="39"/>
    </row>
    <row r="2528" spans="3:4" x14ac:dyDescent="0.25">
      <c r="C2528" s="38"/>
      <c r="D2528" s="39"/>
    </row>
    <row r="2529" spans="3:4" x14ac:dyDescent="0.25">
      <c r="C2529" s="38"/>
      <c r="D2529" s="39"/>
    </row>
    <row r="2530" spans="3:4" x14ac:dyDescent="0.25">
      <c r="C2530" s="38"/>
      <c r="D2530" s="39"/>
    </row>
    <row r="2531" spans="3:4" x14ac:dyDescent="0.25">
      <c r="C2531" s="38"/>
      <c r="D2531" s="39"/>
    </row>
    <row r="2532" spans="3:4" x14ac:dyDescent="0.25">
      <c r="C2532" s="38"/>
      <c r="D2532" s="39"/>
    </row>
    <row r="2533" spans="3:4" x14ac:dyDescent="0.25">
      <c r="C2533" s="38"/>
      <c r="D2533" s="39"/>
    </row>
    <row r="2534" spans="3:4" x14ac:dyDescent="0.25">
      <c r="C2534" s="38"/>
      <c r="D2534" s="39"/>
    </row>
    <row r="2535" spans="3:4" x14ac:dyDescent="0.25">
      <c r="C2535" s="38"/>
      <c r="D2535" s="39"/>
    </row>
    <row r="2536" spans="3:4" x14ac:dyDescent="0.25">
      <c r="C2536" s="38"/>
      <c r="D2536" s="39"/>
    </row>
    <row r="2537" spans="3:4" x14ac:dyDescent="0.25">
      <c r="C2537" s="38"/>
      <c r="D2537" s="39"/>
    </row>
    <row r="2538" spans="3:4" x14ac:dyDescent="0.25">
      <c r="C2538" s="38"/>
      <c r="D2538" s="39"/>
    </row>
    <row r="2539" spans="3:4" x14ac:dyDescent="0.25">
      <c r="C2539" s="38"/>
      <c r="D2539" s="39"/>
    </row>
    <row r="2540" spans="3:4" x14ac:dyDescent="0.25">
      <c r="C2540" s="38"/>
      <c r="D2540" s="39"/>
    </row>
    <row r="2541" spans="3:4" x14ac:dyDescent="0.25">
      <c r="C2541" s="38"/>
      <c r="D2541" s="39"/>
    </row>
    <row r="2542" spans="3:4" x14ac:dyDescent="0.25">
      <c r="C2542" s="38"/>
      <c r="D2542" s="39"/>
    </row>
    <row r="2543" spans="3:4" x14ac:dyDescent="0.25">
      <c r="C2543" s="38"/>
      <c r="D2543" s="39"/>
    </row>
    <row r="2544" spans="3:4" x14ac:dyDescent="0.25">
      <c r="C2544" s="38"/>
      <c r="D2544" s="39"/>
    </row>
    <row r="2545" spans="3:4" x14ac:dyDescent="0.25">
      <c r="C2545" s="38"/>
      <c r="D2545" s="39"/>
    </row>
    <row r="2546" spans="3:4" x14ac:dyDescent="0.25">
      <c r="C2546" s="38"/>
      <c r="D2546" s="39"/>
    </row>
    <row r="2547" spans="3:4" x14ac:dyDescent="0.25">
      <c r="C2547" s="38"/>
      <c r="D2547" s="39"/>
    </row>
    <row r="2548" spans="3:4" x14ac:dyDescent="0.25">
      <c r="C2548" s="38"/>
      <c r="D2548" s="39"/>
    </row>
    <row r="2549" spans="3:4" x14ac:dyDescent="0.25">
      <c r="C2549" s="38"/>
      <c r="D2549" s="39"/>
    </row>
    <row r="2550" spans="3:4" x14ac:dyDescent="0.25">
      <c r="C2550" s="38"/>
      <c r="D2550" s="39"/>
    </row>
    <row r="2551" spans="3:4" x14ac:dyDescent="0.25">
      <c r="C2551" s="38"/>
      <c r="D2551" s="39"/>
    </row>
    <row r="2552" spans="3:4" x14ac:dyDescent="0.25">
      <c r="C2552" s="38"/>
      <c r="D2552" s="39"/>
    </row>
    <row r="2553" spans="3:4" x14ac:dyDescent="0.25">
      <c r="C2553" s="38"/>
      <c r="D2553" s="39"/>
    </row>
    <row r="2554" spans="3:4" x14ac:dyDescent="0.25">
      <c r="C2554" s="38"/>
      <c r="D2554" s="39"/>
    </row>
    <row r="2555" spans="3:4" x14ac:dyDescent="0.25">
      <c r="C2555" s="38"/>
      <c r="D2555" s="39"/>
    </row>
    <row r="2556" spans="3:4" x14ac:dyDescent="0.25">
      <c r="C2556" s="38"/>
      <c r="D2556" s="39"/>
    </row>
    <row r="2557" spans="3:4" x14ac:dyDescent="0.25">
      <c r="C2557" s="38"/>
      <c r="D2557" s="39"/>
    </row>
    <row r="2558" spans="3:4" x14ac:dyDescent="0.25">
      <c r="C2558" s="38"/>
      <c r="D2558" s="39"/>
    </row>
    <row r="2559" spans="3:4" x14ac:dyDescent="0.25">
      <c r="C2559" s="38"/>
      <c r="D2559" s="39"/>
    </row>
    <row r="2560" spans="3:4" x14ac:dyDescent="0.25">
      <c r="C2560" s="38"/>
      <c r="D2560" s="39"/>
    </row>
    <row r="2561" spans="3:4" x14ac:dyDescent="0.25">
      <c r="C2561" s="38"/>
      <c r="D2561" s="39"/>
    </row>
    <row r="2562" spans="3:4" x14ac:dyDescent="0.25">
      <c r="C2562" s="38"/>
      <c r="D2562" s="39"/>
    </row>
    <row r="2563" spans="3:4" x14ac:dyDescent="0.25">
      <c r="C2563" s="38"/>
      <c r="D2563" s="39"/>
    </row>
    <row r="2564" spans="3:4" x14ac:dyDescent="0.25">
      <c r="C2564" s="38"/>
      <c r="D2564" s="39"/>
    </row>
    <row r="2565" spans="3:4" x14ac:dyDescent="0.25">
      <c r="C2565" s="38"/>
      <c r="D2565" s="39"/>
    </row>
    <row r="2566" spans="3:4" x14ac:dyDescent="0.25">
      <c r="C2566" s="38"/>
      <c r="D2566" s="39"/>
    </row>
    <row r="2567" spans="3:4" x14ac:dyDescent="0.25">
      <c r="C2567" s="38"/>
      <c r="D2567" s="39"/>
    </row>
    <row r="2568" spans="3:4" x14ac:dyDescent="0.25">
      <c r="C2568" s="38"/>
      <c r="D2568" s="39"/>
    </row>
    <row r="2569" spans="3:4" x14ac:dyDescent="0.25">
      <c r="C2569" s="38"/>
      <c r="D2569" s="39"/>
    </row>
    <row r="2570" spans="3:4" x14ac:dyDescent="0.25">
      <c r="C2570" s="38"/>
      <c r="D2570" s="39"/>
    </row>
    <row r="2571" spans="3:4" x14ac:dyDescent="0.25">
      <c r="C2571" s="38"/>
      <c r="D2571" s="39"/>
    </row>
    <row r="2572" spans="3:4" x14ac:dyDescent="0.25">
      <c r="C2572" s="38"/>
      <c r="D2572" s="39"/>
    </row>
    <row r="2573" spans="3:4" x14ac:dyDescent="0.25">
      <c r="C2573" s="38"/>
      <c r="D2573" s="39"/>
    </row>
    <row r="2574" spans="3:4" x14ac:dyDescent="0.25">
      <c r="C2574" s="38"/>
      <c r="D2574" s="39"/>
    </row>
    <row r="2575" spans="3:4" x14ac:dyDescent="0.25">
      <c r="C2575" s="38"/>
      <c r="D2575" s="39"/>
    </row>
    <row r="2576" spans="3:4" x14ac:dyDescent="0.25">
      <c r="C2576" s="38"/>
      <c r="D2576" s="39"/>
    </row>
    <row r="2577" spans="3:4" x14ac:dyDescent="0.25">
      <c r="C2577" s="38"/>
      <c r="D2577" s="39"/>
    </row>
    <row r="2578" spans="3:4" x14ac:dyDescent="0.25">
      <c r="C2578" s="38"/>
      <c r="D2578" s="39"/>
    </row>
    <row r="2579" spans="3:4" x14ac:dyDescent="0.25">
      <c r="C2579" s="38"/>
      <c r="D2579" s="39"/>
    </row>
    <row r="2580" spans="3:4" x14ac:dyDescent="0.25">
      <c r="C2580" s="38"/>
      <c r="D2580" s="39"/>
    </row>
    <row r="2581" spans="3:4" x14ac:dyDescent="0.25">
      <c r="C2581" s="38"/>
      <c r="D2581" s="39"/>
    </row>
    <row r="2582" spans="3:4" x14ac:dyDescent="0.25">
      <c r="C2582" s="38"/>
      <c r="D2582" s="39"/>
    </row>
    <row r="2583" spans="3:4" x14ac:dyDescent="0.25">
      <c r="C2583" s="38"/>
      <c r="D2583" s="39"/>
    </row>
    <row r="2584" spans="3:4" x14ac:dyDescent="0.25">
      <c r="C2584" s="38"/>
      <c r="D2584" s="39"/>
    </row>
    <row r="2585" spans="3:4" x14ac:dyDescent="0.25">
      <c r="C2585" s="38"/>
      <c r="D2585" s="39"/>
    </row>
    <row r="2586" spans="3:4" x14ac:dyDescent="0.25">
      <c r="C2586" s="38"/>
      <c r="D2586" s="39"/>
    </row>
    <row r="2587" spans="3:4" x14ac:dyDescent="0.25">
      <c r="C2587" s="38"/>
      <c r="D2587" s="39"/>
    </row>
    <row r="2588" spans="3:4" x14ac:dyDescent="0.25">
      <c r="C2588" s="38"/>
      <c r="D2588" s="39"/>
    </row>
    <row r="2589" spans="3:4" x14ac:dyDescent="0.25">
      <c r="C2589" s="38"/>
      <c r="D2589" s="39"/>
    </row>
    <row r="2590" spans="3:4" x14ac:dyDescent="0.25">
      <c r="C2590" s="38"/>
      <c r="D2590" s="39"/>
    </row>
    <row r="2591" spans="3:4" x14ac:dyDescent="0.25">
      <c r="C2591" s="38"/>
      <c r="D2591" s="39"/>
    </row>
    <row r="2592" spans="3:4" x14ac:dyDescent="0.25">
      <c r="C2592" s="38"/>
      <c r="D2592" s="39"/>
    </row>
    <row r="2593" spans="3:4" x14ac:dyDescent="0.25">
      <c r="C2593" s="38"/>
      <c r="D2593" s="39"/>
    </row>
    <row r="2594" spans="3:4" x14ac:dyDescent="0.25">
      <c r="C2594" s="38"/>
      <c r="D2594" s="39"/>
    </row>
    <row r="2595" spans="3:4" x14ac:dyDescent="0.25">
      <c r="C2595" s="38"/>
      <c r="D2595" s="39"/>
    </row>
    <row r="2596" spans="3:4" x14ac:dyDescent="0.25">
      <c r="C2596" s="38"/>
      <c r="D2596" s="39"/>
    </row>
    <row r="2597" spans="3:4" x14ac:dyDescent="0.25">
      <c r="C2597" s="38"/>
      <c r="D2597" s="39"/>
    </row>
    <row r="2598" spans="3:4" x14ac:dyDescent="0.25">
      <c r="C2598" s="38"/>
      <c r="D2598" s="39"/>
    </row>
    <row r="2599" spans="3:4" x14ac:dyDescent="0.25">
      <c r="C2599" s="38"/>
      <c r="D2599" s="39"/>
    </row>
    <row r="2600" spans="3:4" x14ac:dyDescent="0.25">
      <c r="C2600" s="38"/>
      <c r="D2600" s="39"/>
    </row>
    <row r="2601" spans="3:4" x14ac:dyDescent="0.25">
      <c r="C2601" s="38"/>
      <c r="D2601" s="39"/>
    </row>
    <row r="2602" spans="3:4" x14ac:dyDescent="0.25">
      <c r="C2602" s="38"/>
      <c r="D2602" s="39"/>
    </row>
    <row r="2603" spans="3:4" x14ac:dyDescent="0.25">
      <c r="C2603" s="38"/>
      <c r="D2603" s="39"/>
    </row>
    <row r="2604" spans="3:4" x14ac:dyDescent="0.25">
      <c r="C2604" s="38"/>
      <c r="D2604" s="39"/>
    </row>
    <row r="2605" spans="3:4" x14ac:dyDescent="0.25">
      <c r="C2605" s="38"/>
      <c r="D2605" s="39"/>
    </row>
    <row r="2606" spans="3:4" x14ac:dyDescent="0.25">
      <c r="C2606" s="38"/>
      <c r="D2606" s="39"/>
    </row>
    <row r="2607" spans="3:4" x14ac:dyDescent="0.25">
      <c r="C2607" s="38"/>
      <c r="D2607" s="39"/>
    </row>
    <row r="2608" spans="3:4" x14ac:dyDescent="0.25">
      <c r="C2608" s="38"/>
      <c r="D2608" s="39"/>
    </row>
    <row r="2609" spans="3:4" x14ac:dyDescent="0.25">
      <c r="C2609" s="38"/>
      <c r="D2609" s="39"/>
    </row>
    <row r="2610" spans="3:4" x14ac:dyDescent="0.25">
      <c r="C2610" s="38"/>
      <c r="D2610" s="39"/>
    </row>
    <row r="2611" spans="3:4" x14ac:dyDescent="0.25">
      <c r="C2611" s="38"/>
      <c r="D2611" s="39"/>
    </row>
    <row r="2612" spans="3:4" x14ac:dyDescent="0.25">
      <c r="C2612" s="38"/>
      <c r="D2612" s="39"/>
    </row>
    <row r="2613" spans="3:4" x14ac:dyDescent="0.25">
      <c r="C2613" s="38"/>
      <c r="D2613" s="39"/>
    </row>
    <row r="2614" spans="3:4" x14ac:dyDescent="0.25">
      <c r="C2614" s="38"/>
      <c r="D2614" s="39"/>
    </row>
    <row r="2615" spans="3:4" x14ac:dyDescent="0.25">
      <c r="C2615" s="38"/>
      <c r="D2615" s="39"/>
    </row>
    <row r="2616" spans="3:4" x14ac:dyDescent="0.25">
      <c r="C2616" s="38"/>
      <c r="D2616" s="39"/>
    </row>
    <row r="2617" spans="3:4" x14ac:dyDescent="0.25">
      <c r="C2617" s="38"/>
      <c r="D2617" s="39"/>
    </row>
    <row r="2618" spans="3:4" x14ac:dyDescent="0.25">
      <c r="C2618" s="38"/>
      <c r="D2618" s="39"/>
    </row>
    <row r="2619" spans="3:4" x14ac:dyDescent="0.25">
      <c r="C2619" s="38"/>
      <c r="D2619" s="39"/>
    </row>
    <row r="2620" spans="3:4" x14ac:dyDescent="0.25">
      <c r="C2620" s="38"/>
      <c r="D2620" s="39"/>
    </row>
    <row r="2621" spans="3:4" x14ac:dyDescent="0.25">
      <c r="C2621" s="38"/>
      <c r="D2621" s="39"/>
    </row>
    <row r="2622" spans="3:4" x14ac:dyDescent="0.25">
      <c r="C2622" s="38"/>
      <c r="D2622" s="39"/>
    </row>
    <row r="2623" spans="3:4" x14ac:dyDescent="0.25">
      <c r="C2623" s="38"/>
      <c r="D2623" s="39"/>
    </row>
    <row r="2624" spans="3:4" x14ac:dyDescent="0.25">
      <c r="C2624" s="38"/>
      <c r="D2624" s="39"/>
    </row>
    <row r="2625" spans="3:4" x14ac:dyDescent="0.25">
      <c r="C2625" s="38"/>
      <c r="D2625" s="39"/>
    </row>
    <row r="2626" spans="3:4" x14ac:dyDescent="0.25">
      <c r="C2626" s="38"/>
      <c r="D2626" s="39"/>
    </row>
    <row r="2627" spans="3:4" x14ac:dyDescent="0.25">
      <c r="C2627" s="38"/>
      <c r="D2627" s="39"/>
    </row>
    <row r="2628" spans="3:4" x14ac:dyDescent="0.25">
      <c r="C2628" s="38"/>
      <c r="D2628" s="39"/>
    </row>
    <row r="2629" spans="3:4" x14ac:dyDescent="0.25">
      <c r="C2629" s="38"/>
      <c r="D2629" s="39"/>
    </row>
    <row r="2630" spans="3:4" x14ac:dyDescent="0.25">
      <c r="C2630" s="38"/>
      <c r="D2630" s="39"/>
    </row>
    <row r="2631" spans="3:4" x14ac:dyDescent="0.25">
      <c r="C2631" s="38"/>
      <c r="D2631" s="39"/>
    </row>
    <row r="2632" spans="3:4" x14ac:dyDescent="0.25">
      <c r="C2632" s="38"/>
      <c r="D2632" s="39"/>
    </row>
    <row r="2633" spans="3:4" x14ac:dyDescent="0.25">
      <c r="C2633" s="38"/>
      <c r="D2633" s="39"/>
    </row>
    <row r="2634" spans="3:4" x14ac:dyDescent="0.25">
      <c r="C2634" s="38"/>
      <c r="D2634" s="39"/>
    </row>
    <row r="2635" spans="3:4" x14ac:dyDescent="0.25">
      <c r="C2635" s="38"/>
      <c r="D2635" s="39"/>
    </row>
    <row r="2636" spans="3:4" x14ac:dyDescent="0.25">
      <c r="C2636" s="38"/>
      <c r="D2636" s="39"/>
    </row>
    <row r="2637" spans="3:4" x14ac:dyDescent="0.25">
      <c r="C2637" s="38"/>
      <c r="D2637" s="39"/>
    </row>
    <row r="2638" spans="3:4" x14ac:dyDescent="0.25">
      <c r="C2638" s="38"/>
      <c r="D2638" s="39"/>
    </row>
    <row r="2639" spans="3:4" x14ac:dyDescent="0.25">
      <c r="C2639" s="38"/>
      <c r="D2639" s="39"/>
    </row>
    <row r="2640" spans="3:4" x14ac:dyDescent="0.25">
      <c r="C2640" s="38"/>
      <c r="D2640" s="39"/>
    </row>
    <row r="2641" spans="3:4" x14ac:dyDescent="0.25">
      <c r="C2641" s="38"/>
      <c r="D2641" s="39"/>
    </row>
    <row r="2642" spans="3:4" x14ac:dyDescent="0.25">
      <c r="C2642" s="38"/>
      <c r="D2642" s="39"/>
    </row>
    <row r="2643" spans="3:4" x14ac:dyDescent="0.25">
      <c r="C2643" s="38"/>
      <c r="D2643" s="39"/>
    </row>
    <row r="2644" spans="3:4" x14ac:dyDescent="0.25">
      <c r="C2644" s="38"/>
      <c r="D2644" s="39"/>
    </row>
    <row r="2645" spans="3:4" x14ac:dyDescent="0.25">
      <c r="C2645" s="38"/>
      <c r="D2645" s="39"/>
    </row>
    <row r="2646" spans="3:4" x14ac:dyDescent="0.25">
      <c r="C2646" s="38"/>
      <c r="D2646" s="39"/>
    </row>
    <row r="2647" spans="3:4" x14ac:dyDescent="0.25">
      <c r="C2647" s="38"/>
      <c r="D2647" s="39"/>
    </row>
    <row r="2648" spans="3:4" x14ac:dyDescent="0.25">
      <c r="C2648" s="38"/>
      <c r="D2648" s="39"/>
    </row>
    <row r="2649" spans="3:4" x14ac:dyDescent="0.25">
      <c r="C2649" s="38"/>
      <c r="D2649" s="39"/>
    </row>
    <row r="2650" spans="3:4" x14ac:dyDescent="0.25">
      <c r="C2650" s="38"/>
      <c r="D2650" s="39"/>
    </row>
    <row r="2651" spans="3:4" x14ac:dyDescent="0.25">
      <c r="C2651" s="38"/>
      <c r="D2651" s="39"/>
    </row>
    <row r="2652" spans="3:4" x14ac:dyDescent="0.25">
      <c r="C2652" s="38"/>
      <c r="D2652" s="39"/>
    </row>
    <row r="2653" spans="3:4" x14ac:dyDescent="0.25">
      <c r="C2653" s="38"/>
      <c r="D2653" s="39"/>
    </row>
    <row r="2654" spans="3:4" x14ac:dyDescent="0.25">
      <c r="C2654" s="38"/>
      <c r="D2654" s="39"/>
    </row>
    <row r="2655" spans="3:4" x14ac:dyDescent="0.25">
      <c r="C2655" s="38"/>
      <c r="D2655" s="39"/>
    </row>
    <row r="2656" spans="3:4" x14ac:dyDescent="0.25">
      <c r="C2656" s="38"/>
      <c r="D2656" s="39"/>
    </row>
    <row r="2657" spans="3:4" x14ac:dyDescent="0.25">
      <c r="C2657" s="38"/>
      <c r="D2657" s="39"/>
    </row>
    <row r="2658" spans="3:4" x14ac:dyDescent="0.25">
      <c r="C2658" s="38"/>
      <c r="D2658" s="39"/>
    </row>
    <row r="2659" spans="3:4" x14ac:dyDescent="0.25">
      <c r="C2659" s="38"/>
      <c r="D2659" s="39"/>
    </row>
    <row r="2660" spans="3:4" x14ac:dyDescent="0.25">
      <c r="C2660" s="38"/>
      <c r="D2660" s="39"/>
    </row>
    <row r="2661" spans="3:4" x14ac:dyDescent="0.25">
      <c r="C2661" s="38"/>
      <c r="D2661" s="39"/>
    </row>
    <row r="2662" spans="3:4" x14ac:dyDescent="0.25">
      <c r="C2662" s="38"/>
      <c r="D2662" s="39"/>
    </row>
    <row r="2663" spans="3:4" x14ac:dyDescent="0.25">
      <c r="C2663" s="38"/>
      <c r="D2663" s="39"/>
    </row>
    <row r="2664" spans="3:4" x14ac:dyDescent="0.25">
      <c r="C2664" s="38"/>
      <c r="D2664" s="39"/>
    </row>
    <row r="2665" spans="3:4" x14ac:dyDescent="0.25">
      <c r="C2665" s="38"/>
      <c r="D2665" s="39"/>
    </row>
    <row r="2666" spans="3:4" x14ac:dyDescent="0.25">
      <c r="C2666" s="38"/>
      <c r="D2666" s="39"/>
    </row>
    <row r="2667" spans="3:4" x14ac:dyDescent="0.25">
      <c r="C2667" s="38"/>
      <c r="D2667" s="39"/>
    </row>
    <row r="2668" spans="3:4" x14ac:dyDescent="0.25">
      <c r="C2668" s="38"/>
      <c r="D2668" s="39"/>
    </row>
    <row r="2669" spans="3:4" x14ac:dyDescent="0.25">
      <c r="C2669" s="38"/>
      <c r="D2669" s="39"/>
    </row>
    <row r="2670" spans="3:4" x14ac:dyDescent="0.25">
      <c r="C2670" s="38"/>
      <c r="D2670" s="39"/>
    </row>
    <row r="2671" spans="3:4" x14ac:dyDescent="0.25">
      <c r="C2671" s="38"/>
      <c r="D2671" s="39"/>
    </row>
    <row r="2672" spans="3:4" x14ac:dyDescent="0.25">
      <c r="C2672" s="38"/>
      <c r="D2672" s="39"/>
    </row>
    <row r="2673" spans="3:4" x14ac:dyDescent="0.25">
      <c r="C2673" s="38"/>
      <c r="D2673" s="39"/>
    </row>
    <row r="2674" spans="3:4" x14ac:dyDescent="0.25">
      <c r="C2674" s="38"/>
      <c r="D2674" s="39"/>
    </row>
    <row r="2675" spans="3:4" x14ac:dyDescent="0.25">
      <c r="C2675" s="38"/>
      <c r="D2675" s="39"/>
    </row>
    <row r="2676" spans="3:4" x14ac:dyDescent="0.25">
      <c r="C2676" s="38"/>
      <c r="D2676" s="39"/>
    </row>
    <row r="2677" spans="3:4" x14ac:dyDescent="0.25">
      <c r="C2677" s="38"/>
      <c r="D2677" s="39"/>
    </row>
    <row r="2678" spans="3:4" x14ac:dyDescent="0.25">
      <c r="C2678" s="38"/>
      <c r="D2678" s="39"/>
    </row>
    <row r="2679" spans="3:4" x14ac:dyDescent="0.25">
      <c r="C2679" s="38"/>
      <c r="D2679" s="39"/>
    </row>
    <row r="2680" spans="3:4" x14ac:dyDescent="0.25">
      <c r="C2680" s="38"/>
      <c r="D2680" s="39"/>
    </row>
    <row r="2681" spans="3:4" x14ac:dyDescent="0.25">
      <c r="C2681" s="38"/>
      <c r="D2681" s="39"/>
    </row>
    <row r="2682" spans="3:4" x14ac:dyDescent="0.25">
      <c r="C2682" s="38"/>
      <c r="D2682" s="39"/>
    </row>
    <row r="2683" spans="3:4" x14ac:dyDescent="0.25">
      <c r="C2683" s="38"/>
      <c r="D2683" s="39"/>
    </row>
    <row r="2684" spans="3:4" x14ac:dyDescent="0.25">
      <c r="C2684" s="38"/>
      <c r="D2684" s="39"/>
    </row>
    <row r="2685" spans="3:4" x14ac:dyDescent="0.25">
      <c r="C2685" s="38"/>
      <c r="D2685" s="39"/>
    </row>
    <row r="2686" spans="3:4" x14ac:dyDescent="0.25">
      <c r="C2686" s="38"/>
      <c r="D2686" s="39"/>
    </row>
    <row r="2687" spans="3:4" x14ac:dyDescent="0.25">
      <c r="C2687" s="38"/>
      <c r="D2687" s="39"/>
    </row>
    <row r="2688" spans="3:4" x14ac:dyDescent="0.25">
      <c r="C2688" s="38"/>
      <c r="D2688" s="39"/>
    </row>
    <row r="2689" spans="3:4" x14ac:dyDescent="0.25">
      <c r="C2689" s="38"/>
      <c r="D2689" s="39"/>
    </row>
    <row r="2690" spans="3:4" x14ac:dyDescent="0.25">
      <c r="C2690" s="38"/>
      <c r="D2690" s="39"/>
    </row>
    <row r="2691" spans="3:4" x14ac:dyDescent="0.25">
      <c r="C2691" s="38"/>
      <c r="D2691" s="39"/>
    </row>
    <row r="2692" spans="3:4" x14ac:dyDescent="0.25">
      <c r="C2692" s="38"/>
      <c r="D2692" s="39"/>
    </row>
    <row r="2693" spans="3:4" x14ac:dyDescent="0.25">
      <c r="C2693" s="38"/>
      <c r="D2693" s="39"/>
    </row>
    <row r="2694" spans="3:4" x14ac:dyDescent="0.25">
      <c r="C2694" s="38"/>
      <c r="D2694" s="39"/>
    </row>
  </sheetData>
  <autoFilter ref="A1:K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S1048357"/>
  <sheetViews>
    <sheetView workbookViewId="0">
      <pane ySplit="2" topLeftCell="A9" activePane="bottomLeft" state="frozen"/>
      <selection pane="bottomLeft" activeCell="A23" sqref="A23"/>
    </sheetView>
  </sheetViews>
  <sheetFormatPr defaultRowHeight="15" x14ac:dyDescent="0.25"/>
  <cols>
    <col min="1" max="1" width="9.7109375" bestFit="1" customWidth="1"/>
    <col min="2" max="2" width="9.7109375" customWidth="1"/>
    <col min="3" max="3" width="11.28515625" bestFit="1" customWidth="1"/>
    <col min="4" max="4" width="9.28515625" bestFit="1" customWidth="1"/>
    <col min="5" max="5" width="9.7109375" customWidth="1"/>
    <col min="6" max="6" width="8.7109375" customWidth="1"/>
    <col min="7" max="7" width="10.7109375" bestFit="1" customWidth="1"/>
    <col min="8" max="8" width="9.5703125" customWidth="1"/>
    <col min="9" max="9" width="11.85546875" customWidth="1"/>
    <col min="10" max="10" width="15.140625" bestFit="1" customWidth="1"/>
    <col min="11" max="11" width="15.7109375" bestFit="1" customWidth="1"/>
    <col min="12" max="12" width="11.7109375" customWidth="1"/>
    <col min="13" max="13" width="17.28515625" style="62" customWidth="1"/>
    <col min="14" max="14" width="8.28515625" bestFit="1" customWidth="1"/>
    <col min="15" max="15" width="8.28515625" customWidth="1"/>
    <col min="16" max="16" width="14.5703125" bestFit="1" customWidth="1"/>
    <col min="17" max="17" width="5" bestFit="1" customWidth="1"/>
  </cols>
  <sheetData>
    <row r="1" spans="1:19" ht="15.75" thickBot="1" x14ac:dyDescent="0.3">
      <c r="P1" s="3" t="s">
        <v>23</v>
      </c>
      <c r="Q1" s="3"/>
    </row>
    <row r="2" spans="1:19" ht="16.5" thickTop="1" thickBot="1" x14ac:dyDescent="0.3">
      <c r="A2" s="3" t="s">
        <v>12</v>
      </c>
      <c r="B2" s="3" t="s">
        <v>88</v>
      </c>
      <c r="C2" s="3" t="s">
        <v>13</v>
      </c>
      <c r="D2" s="3" t="s">
        <v>14</v>
      </c>
      <c r="E2" s="3" t="s">
        <v>15</v>
      </c>
      <c r="F2" s="3" t="s">
        <v>72</v>
      </c>
      <c r="G2" s="3" t="s">
        <v>16</v>
      </c>
      <c r="H2" s="3" t="s">
        <v>17</v>
      </c>
      <c r="I2" s="3" t="s">
        <v>18</v>
      </c>
      <c r="J2" s="3" t="s">
        <v>19</v>
      </c>
      <c r="K2" s="3" t="s">
        <v>20</v>
      </c>
      <c r="L2" s="3" t="s">
        <v>21</v>
      </c>
      <c r="M2" s="63" t="s">
        <v>22</v>
      </c>
      <c r="N2" s="3" t="s">
        <v>19</v>
      </c>
      <c r="O2" s="3" t="s">
        <v>105</v>
      </c>
      <c r="P2" s="3">
        <v>2015</v>
      </c>
      <c r="Q2" s="3">
        <v>2016</v>
      </c>
      <c r="R2" s="3">
        <v>2017</v>
      </c>
      <c r="S2" s="47">
        <v>2018</v>
      </c>
    </row>
    <row r="3" spans="1:19" s="55" customFormat="1" ht="15.75" thickTop="1" x14ac:dyDescent="0.25">
      <c r="A3" s="55" t="s">
        <v>9</v>
      </c>
      <c r="B3" s="55">
        <v>1</v>
      </c>
      <c r="C3" s="55" t="s">
        <v>0</v>
      </c>
      <c r="D3" s="55" t="s">
        <v>1</v>
      </c>
      <c r="E3" s="55" t="s">
        <v>79</v>
      </c>
      <c r="F3" s="55" t="s">
        <v>73</v>
      </c>
      <c r="G3" s="56">
        <v>3.5000000000000003E-2</v>
      </c>
      <c r="H3" s="56">
        <v>0.25</v>
      </c>
      <c r="I3" s="56">
        <v>0.53200000000000003</v>
      </c>
      <c r="J3" s="55" t="s">
        <v>2</v>
      </c>
      <c r="K3" s="57">
        <v>0.25</v>
      </c>
      <c r="L3" s="55" t="s">
        <v>109</v>
      </c>
      <c r="M3" s="64" t="s">
        <v>3</v>
      </c>
      <c r="N3" s="55" t="s">
        <v>32</v>
      </c>
      <c r="O3" s="55" t="s">
        <v>106</v>
      </c>
    </row>
    <row r="4" spans="1:19" s="55" customFormat="1" x14ac:dyDescent="0.25">
      <c r="A4" s="55" t="s">
        <v>10</v>
      </c>
      <c r="B4" s="55">
        <v>1</v>
      </c>
      <c r="C4" s="55" t="s">
        <v>0</v>
      </c>
      <c r="D4" s="55" t="s">
        <v>1</v>
      </c>
      <c r="E4" s="55" t="s">
        <v>79</v>
      </c>
      <c r="F4" s="55" t="s">
        <v>73</v>
      </c>
      <c r="G4" s="56">
        <v>0.04</v>
      </c>
      <c r="H4" s="56">
        <v>0.25</v>
      </c>
      <c r="I4" s="56">
        <v>0.41</v>
      </c>
      <c r="J4" s="55" t="s">
        <v>4</v>
      </c>
      <c r="K4" s="57">
        <v>0.25</v>
      </c>
      <c r="L4" s="55" t="s">
        <v>109</v>
      </c>
      <c r="M4" s="64" t="s">
        <v>5</v>
      </c>
      <c r="N4" s="55" t="s">
        <v>32</v>
      </c>
      <c r="O4" s="55" t="s">
        <v>106</v>
      </c>
      <c r="Q4" s="55">
        <v>45</v>
      </c>
      <c r="R4" s="55">
        <v>45</v>
      </c>
      <c r="S4" s="55">
        <v>45</v>
      </c>
    </row>
    <row r="5" spans="1:19" s="55" customFormat="1" x14ac:dyDescent="0.25">
      <c r="A5" s="55" t="s">
        <v>11</v>
      </c>
      <c r="B5" s="55">
        <v>1</v>
      </c>
      <c r="C5" s="55" t="s">
        <v>0</v>
      </c>
      <c r="D5" s="55" t="s">
        <v>1</v>
      </c>
      <c r="E5" s="55" t="s">
        <v>6</v>
      </c>
      <c r="F5" s="55" t="s">
        <v>73</v>
      </c>
      <c r="G5" s="56">
        <v>0.04</v>
      </c>
      <c r="H5" s="56">
        <v>0.25</v>
      </c>
      <c r="I5" s="56">
        <v>0.246</v>
      </c>
      <c r="J5" s="55" t="s">
        <v>4</v>
      </c>
      <c r="K5" s="57">
        <v>0.25</v>
      </c>
      <c r="L5" s="55" t="s">
        <v>109</v>
      </c>
      <c r="M5" s="64" t="s">
        <v>7</v>
      </c>
      <c r="N5" s="55" t="s">
        <v>32</v>
      </c>
      <c r="O5" s="55" t="s">
        <v>106</v>
      </c>
      <c r="Q5" s="55">
        <v>58</v>
      </c>
      <c r="R5" s="55">
        <v>58</v>
      </c>
      <c r="S5" s="55">
        <v>58</v>
      </c>
    </row>
    <row r="6" spans="1:19" s="55" customFormat="1" x14ac:dyDescent="0.25">
      <c r="A6" s="55">
        <v>365</v>
      </c>
      <c r="B6" s="55">
        <v>0</v>
      </c>
      <c r="C6" s="55" t="s">
        <v>0</v>
      </c>
      <c r="D6" s="55" t="s">
        <v>1</v>
      </c>
      <c r="E6" s="55" t="s">
        <v>79</v>
      </c>
      <c r="F6" s="55" t="s">
        <v>73</v>
      </c>
      <c r="G6" s="56">
        <v>3.5000000000000003E-2</v>
      </c>
      <c r="H6" s="56">
        <v>0.25</v>
      </c>
      <c r="I6" s="56">
        <v>0</v>
      </c>
      <c r="J6" s="55" t="s">
        <v>2</v>
      </c>
      <c r="K6" s="57">
        <v>0.25</v>
      </c>
      <c r="L6" s="55" t="s">
        <v>109</v>
      </c>
      <c r="M6" s="64" t="s">
        <v>8</v>
      </c>
      <c r="N6" s="55" t="s">
        <v>32</v>
      </c>
      <c r="O6" s="55" t="s">
        <v>106</v>
      </c>
    </row>
    <row r="7" spans="1:19" s="55" customFormat="1" x14ac:dyDescent="0.25">
      <c r="A7" s="55" t="s">
        <v>76</v>
      </c>
      <c r="B7" s="55">
        <v>1</v>
      </c>
      <c r="C7" s="55" t="s">
        <v>0</v>
      </c>
      <c r="D7" s="55" t="s">
        <v>1</v>
      </c>
      <c r="E7" s="55" t="s">
        <v>79</v>
      </c>
      <c r="F7" s="55" t="s">
        <v>73</v>
      </c>
      <c r="G7" s="56">
        <v>3.5000000000000003E-2</v>
      </c>
      <c r="H7" s="56">
        <v>0.25</v>
      </c>
      <c r="I7" s="56">
        <v>0.53200000000000003</v>
      </c>
      <c r="J7" s="55" t="s">
        <v>2</v>
      </c>
      <c r="K7" s="57">
        <v>0.25</v>
      </c>
      <c r="L7" s="55" t="s">
        <v>108</v>
      </c>
      <c r="M7" s="64"/>
      <c r="N7" s="55" t="s">
        <v>32</v>
      </c>
      <c r="O7" s="55" t="s">
        <v>106</v>
      </c>
    </row>
    <row r="8" spans="1:19" s="55" customFormat="1" x14ac:dyDescent="0.25">
      <c r="A8" s="55" t="s">
        <v>77</v>
      </c>
      <c r="B8" s="55">
        <v>1</v>
      </c>
      <c r="C8" s="55" t="s">
        <v>0</v>
      </c>
      <c r="D8" s="55" t="s">
        <v>1</v>
      </c>
      <c r="E8" s="55" t="s">
        <v>79</v>
      </c>
      <c r="F8" s="55" t="s">
        <v>73</v>
      </c>
      <c r="G8" s="56">
        <v>0.04</v>
      </c>
      <c r="H8" s="56">
        <v>0.25</v>
      </c>
      <c r="I8" s="56">
        <v>0.41</v>
      </c>
      <c r="J8" s="55" t="s">
        <v>4</v>
      </c>
      <c r="K8" s="57">
        <v>0.25</v>
      </c>
      <c r="L8" s="55" t="s">
        <v>108</v>
      </c>
      <c r="M8" s="64"/>
      <c r="N8" s="55" t="s">
        <v>32</v>
      </c>
      <c r="O8" s="55" t="s">
        <v>106</v>
      </c>
      <c r="Q8" s="55">
        <v>45</v>
      </c>
      <c r="R8" s="55">
        <v>45</v>
      </c>
      <c r="S8" s="55">
        <v>45</v>
      </c>
    </row>
    <row r="9" spans="1:19" s="55" customFormat="1" x14ac:dyDescent="0.25">
      <c r="A9" s="55" t="s">
        <v>78</v>
      </c>
      <c r="B9" s="55">
        <v>1</v>
      </c>
      <c r="C9" s="55" t="s">
        <v>0</v>
      </c>
      <c r="D9" s="55" t="s">
        <v>1</v>
      </c>
      <c r="E9" s="55" t="s">
        <v>6</v>
      </c>
      <c r="F9" s="55" t="s">
        <v>73</v>
      </c>
      <c r="G9" s="56">
        <v>0.04</v>
      </c>
      <c r="H9" s="56">
        <v>0.25</v>
      </c>
      <c r="I9" s="56">
        <v>0.246</v>
      </c>
      <c r="J9" s="55" t="s">
        <v>4</v>
      </c>
      <c r="K9" s="57">
        <v>0.25</v>
      </c>
      <c r="L9" s="55" t="s">
        <v>108</v>
      </c>
      <c r="M9" s="64"/>
      <c r="N9" s="55" t="s">
        <v>32</v>
      </c>
      <c r="O9" s="55" t="s">
        <v>106</v>
      </c>
      <c r="Q9" s="55">
        <v>58</v>
      </c>
      <c r="R9" s="55">
        <v>58</v>
      </c>
      <c r="S9" s="55">
        <v>58</v>
      </c>
    </row>
    <row r="10" spans="1:19" s="55" customFormat="1" x14ac:dyDescent="0.25">
      <c r="A10" s="55">
        <v>378</v>
      </c>
      <c r="B10" s="55">
        <v>1</v>
      </c>
      <c r="C10" s="55" t="s">
        <v>0</v>
      </c>
      <c r="D10" s="55" t="s">
        <v>1</v>
      </c>
      <c r="E10" s="55" t="s">
        <v>79</v>
      </c>
      <c r="F10" s="55" t="s">
        <v>73</v>
      </c>
      <c r="G10" s="56">
        <v>3.5000000000000003E-2</v>
      </c>
      <c r="H10" s="56">
        <v>0.25</v>
      </c>
      <c r="I10" s="56">
        <v>0</v>
      </c>
      <c r="J10" s="55" t="s">
        <v>2</v>
      </c>
      <c r="K10" s="57">
        <v>0.25</v>
      </c>
      <c r="L10" s="55" t="s">
        <v>108</v>
      </c>
      <c r="M10" s="64"/>
      <c r="N10" s="55" t="s">
        <v>32</v>
      </c>
      <c r="O10" s="55" t="s">
        <v>106</v>
      </c>
    </row>
    <row r="11" spans="1:19" s="58" customFormat="1" x14ac:dyDescent="0.25">
      <c r="A11" s="58">
        <v>2114</v>
      </c>
      <c r="B11" s="58">
        <v>1</v>
      </c>
      <c r="C11" s="58" t="s">
        <v>0</v>
      </c>
      <c r="D11" s="58" t="s">
        <v>1</v>
      </c>
      <c r="E11" s="58" t="s">
        <v>79</v>
      </c>
      <c r="F11" s="58" t="s">
        <v>73</v>
      </c>
      <c r="G11" s="59">
        <v>3.5000000000000003E-2</v>
      </c>
      <c r="H11" s="59">
        <v>0.25</v>
      </c>
      <c r="I11" s="59">
        <v>0.55200000000000005</v>
      </c>
      <c r="J11" s="58" t="s">
        <v>2</v>
      </c>
      <c r="K11" s="60">
        <v>0.25</v>
      </c>
      <c r="L11" s="58" t="s">
        <v>109</v>
      </c>
      <c r="M11" s="61" t="s">
        <v>112</v>
      </c>
      <c r="N11" s="58" t="s">
        <v>32</v>
      </c>
      <c r="O11" s="58" t="s">
        <v>106</v>
      </c>
    </row>
    <row r="12" spans="1:19" s="58" customFormat="1" x14ac:dyDescent="0.25">
      <c r="A12" s="58">
        <v>2115</v>
      </c>
      <c r="B12" s="58">
        <v>1</v>
      </c>
      <c r="C12" s="58" t="s">
        <v>0</v>
      </c>
      <c r="D12" s="58" t="s">
        <v>1</v>
      </c>
      <c r="E12" s="58" t="s">
        <v>79</v>
      </c>
      <c r="F12" s="58" t="s">
        <v>73</v>
      </c>
      <c r="G12" s="59">
        <v>0.04</v>
      </c>
      <c r="H12" s="59">
        <v>0.25</v>
      </c>
      <c r="I12" s="59">
        <v>0.441</v>
      </c>
      <c r="J12" s="58" t="s">
        <v>4</v>
      </c>
      <c r="K12" s="60">
        <v>0.25</v>
      </c>
      <c r="L12" s="58" t="s">
        <v>109</v>
      </c>
      <c r="M12" s="61" t="s">
        <v>5</v>
      </c>
      <c r="N12" s="58" t="s">
        <v>32</v>
      </c>
      <c r="O12" s="58" t="s">
        <v>106</v>
      </c>
      <c r="Q12" s="58">
        <v>45</v>
      </c>
      <c r="R12" s="58">
        <v>45</v>
      </c>
      <c r="S12" s="58">
        <v>45</v>
      </c>
    </row>
    <row r="13" spans="1:19" s="58" customFormat="1" x14ac:dyDescent="0.25">
      <c r="A13" s="58">
        <v>2116</v>
      </c>
      <c r="B13" s="58">
        <v>1</v>
      </c>
      <c r="C13" s="58" t="s">
        <v>0</v>
      </c>
      <c r="D13" s="58" t="s">
        <v>1</v>
      </c>
      <c r="E13" s="58" t="s">
        <v>6</v>
      </c>
      <c r="F13" s="58" t="s">
        <v>73</v>
      </c>
      <c r="G13" s="59">
        <v>0.04</v>
      </c>
      <c r="H13" s="59">
        <v>0.25</v>
      </c>
      <c r="I13" s="59">
        <v>0.29199999999999998</v>
      </c>
      <c r="J13" s="58" t="s">
        <v>4</v>
      </c>
      <c r="K13" s="60">
        <v>0.25</v>
      </c>
      <c r="L13" s="58" t="s">
        <v>109</v>
      </c>
      <c r="M13" s="61" t="s">
        <v>7</v>
      </c>
      <c r="N13" s="58" t="s">
        <v>32</v>
      </c>
      <c r="O13" s="58" t="s">
        <v>106</v>
      </c>
      <c r="Q13" s="58">
        <v>58</v>
      </c>
      <c r="R13" s="58">
        <v>58</v>
      </c>
      <c r="S13" s="58">
        <v>58</v>
      </c>
    </row>
    <row r="14" spans="1:19" s="58" customFormat="1" x14ac:dyDescent="0.25">
      <c r="A14" s="58">
        <v>2117</v>
      </c>
      <c r="B14" s="58">
        <v>0</v>
      </c>
      <c r="C14" s="58" t="s">
        <v>0</v>
      </c>
      <c r="D14" s="58" t="s">
        <v>1</v>
      </c>
      <c r="E14" s="58" t="s">
        <v>79</v>
      </c>
      <c r="F14" s="58" t="s">
        <v>73</v>
      </c>
      <c r="G14" s="59">
        <v>3.5000000000000003E-2</v>
      </c>
      <c r="H14" s="59">
        <v>0.25</v>
      </c>
      <c r="I14" s="59">
        <v>6.8000000000000005E-2</v>
      </c>
      <c r="J14" s="58" t="s">
        <v>2</v>
      </c>
      <c r="K14" s="60">
        <v>0.25</v>
      </c>
      <c r="L14" s="58" t="s">
        <v>109</v>
      </c>
      <c r="M14" s="61" t="s">
        <v>111</v>
      </c>
      <c r="N14" s="58" t="s">
        <v>32</v>
      </c>
      <c r="O14" s="58" t="s">
        <v>106</v>
      </c>
    </row>
    <row r="15" spans="1:19" s="52" customFormat="1" x14ac:dyDescent="0.25">
      <c r="A15" s="52">
        <v>2098</v>
      </c>
      <c r="B15" s="52">
        <v>1</v>
      </c>
      <c r="C15" s="52" t="s">
        <v>0</v>
      </c>
      <c r="D15" s="52" t="s">
        <v>1</v>
      </c>
      <c r="E15" s="52" t="s">
        <v>79</v>
      </c>
      <c r="F15" s="52" t="s">
        <v>73</v>
      </c>
      <c r="G15" s="53">
        <v>3.5000000000000003E-2</v>
      </c>
      <c r="H15" s="53">
        <v>0.25</v>
      </c>
      <c r="I15" s="53">
        <v>0.55200000000000005</v>
      </c>
      <c r="J15" s="52" t="s">
        <v>2</v>
      </c>
      <c r="K15" s="54">
        <v>0.25</v>
      </c>
      <c r="L15" s="52" t="s">
        <v>108</v>
      </c>
      <c r="M15" s="65" t="s">
        <v>113</v>
      </c>
      <c r="N15" s="52" t="s">
        <v>32</v>
      </c>
      <c r="O15" s="52" t="s">
        <v>106</v>
      </c>
    </row>
    <row r="16" spans="1:19" s="52" customFormat="1" x14ac:dyDescent="0.25">
      <c r="A16" s="52">
        <v>2099</v>
      </c>
      <c r="B16" s="52">
        <v>1</v>
      </c>
      <c r="C16" s="52" t="s">
        <v>0</v>
      </c>
      <c r="D16" s="52" t="s">
        <v>1</v>
      </c>
      <c r="E16" s="52" t="s">
        <v>79</v>
      </c>
      <c r="F16" s="52" t="s">
        <v>73</v>
      </c>
      <c r="G16" s="53">
        <v>0.04</v>
      </c>
      <c r="H16" s="53">
        <v>0.25</v>
      </c>
      <c r="I16" s="53">
        <v>0.441</v>
      </c>
      <c r="J16" s="52" t="s">
        <v>4</v>
      </c>
      <c r="K16" s="54">
        <v>0.25</v>
      </c>
      <c r="L16" s="52" t="s">
        <v>108</v>
      </c>
      <c r="M16" s="65" t="s">
        <v>5</v>
      </c>
      <c r="N16" s="52" t="s">
        <v>32</v>
      </c>
      <c r="O16" s="52" t="s">
        <v>106</v>
      </c>
      <c r="Q16" s="52">
        <v>45</v>
      </c>
      <c r="R16" s="52">
        <v>45</v>
      </c>
      <c r="S16" s="52">
        <v>45</v>
      </c>
    </row>
    <row r="17" spans="1:19" s="52" customFormat="1" x14ac:dyDescent="0.25">
      <c r="A17" s="52">
        <v>2100</v>
      </c>
      <c r="B17" s="52">
        <v>1</v>
      </c>
      <c r="C17" s="52" t="s">
        <v>0</v>
      </c>
      <c r="D17" s="52" t="s">
        <v>1</v>
      </c>
      <c r="E17" s="52" t="s">
        <v>6</v>
      </c>
      <c r="F17" s="52" t="s">
        <v>73</v>
      </c>
      <c r="G17" s="53">
        <v>0.04</v>
      </c>
      <c r="H17" s="53">
        <v>0.25</v>
      </c>
      <c r="I17" s="53">
        <v>0.29199999999999998</v>
      </c>
      <c r="J17" s="52" t="s">
        <v>4</v>
      </c>
      <c r="K17" s="54">
        <v>0.25</v>
      </c>
      <c r="L17" s="52" t="s">
        <v>108</v>
      </c>
      <c r="M17" s="65" t="s">
        <v>7</v>
      </c>
      <c r="N17" s="52" t="s">
        <v>32</v>
      </c>
      <c r="O17" s="52" t="s">
        <v>106</v>
      </c>
      <c r="Q17" s="52">
        <v>58</v>
      </c>
      <c r="R17" s="52">
        <v>58</v>
      </c>
      <c r="S17" s="52">
        <v>58</v>
      </c>
    </row>
    <row r="18" spans="1:19" s="52" customFormat="1" x14ac:dyDescent="0.25">
      <c r="A18" s="52">
        <v>2101</v>
      </c>
      <c r="B18" s="52">
        <v>1</v>
      </c>
      <c r="C18" s="52" t="s">
        <v>0</v>
      </c>
      <c r="D18" s="52" t="s">
        <v>1</v>
      </c>
      <c r="E18" s="52" t="s">
        <v>79</v>
      </c>
      <c r="F18" s="52" t="s">
        <v>73</v>
      </c>
      <c r="G18" s="53">
        <v>3.5000000000000003E-2</v>
      </c>
      <c r="H18" s="53">
        <v>0.25</v>
      </c>
      <c r="I18" s="53">
        <v>6.8000000000000005E-2</v>
      </c>
      <c r="J18" s="52" t="s">
        <v>2</v>
      </c>
      <c r="K18" s="54">
        <v>0.25</v>
      </c>
      <c r="L18" s="52" t="s">
        <v>108</v>
      </c>
      <c r="M18" s="65" t="s">
        <v>111</v>
      </c>
      <c r="N18" s="52" t="s">
        <v>32</v>
      </c>
      <c r="O18" s="52" t="s">
        <v>106</v>
      </c>
    </row>
    <row r="19" spans="1:19" s="58" customFormat="1" x14ac:dyDescent="0.25">
      <c r="A19" s="58">
        <v>2118</v>
      </c>
      <c r="B19" s="58">
        <v>1</v>
      </c>
      <c r="C19" s="58" t="s">
        <v>0</v>
      </c>
      <c r="D19" s="58" t="s">
        <v>1</v>
      </c>
      <c r="E19" s="58" t="s">
        <v>79</v>
      </c>
      <c r="F19" s="58" t="s">
        <v>73</v>
      </c>
      <c r="G19" s="59">
        <v>3.5000000000000003E-2</v>
      </c>
      <c r="H19" s="59">
        <v>0.25</v>
      </c>
      <c r="I19" s="59">
        <v>0.57599999999999996</v>
      </c>
      <c r="J19" s="58" t="s">
        <v>2</v>
      </c>
      <c r="K19" s="60">
        <v>0.25</v>
      </c>
      <c r="L19" s="58" t="s">
        <v>109</v>
      </c>
      <c r="M19" s="61" t="s">
        <v>113</v>
      </c>
      <c r="N19" s="58" t="s">
        <v>32</v>
      </c>
      <c r="O19" s="58" t="s">
        <v>106</v>
      </c>
    </row>
    <row r="20" spans="1:19" s="58" customFormat="1" x14ac:dyDescent="0.25">
      <c r="A20" s="58">
        <v>2119</v>
      </c>
      <c r="B20" s="58">
        <v>1</v>
      </c>
      <c r="C20" s="58" t="s">
        <v>0</v>
      </c>
      <c r="D20" s="58" t="s">
        <v>1</v>
      </c>
      <c r="E20" s="58" t="s">
        <v>79</v>
      </c>
      <c r="F20" s="58" t="s">
        <v>73</v>
      </c>
      <c r="G20" s="59">
        <v>0.04</v>
      </c>
      <c r="H20" s="59">
        <v>0.25</v>
      </c>
      <c r="I20" s="59">
        <v>0.47799999999999998</v>
      </c>
      <c r="J20" s="58" t="s">
        <v>4</v>
      </c>
      <c r="K20" s="60">
        <v>0.25</v>
      </c>
      <c r="L20" s="58" t="s">
        <v>109</v>
      </c>
      <c r="M20" s="61" t="s">
        <v>5</v>
      </c>
      <c r="N20" s="58" t="s">
        <v>32</v>
      </c>
      <c r="O20" s="58" t="s">
        <v>106</v>
      </c>
      <c r="Q20" s="58">
        <v>45</v>
      </c>
      <c r="R20" s="58">
        <v>45</v>
      </c>
      <c r="S20" s="58">
        <v>45</v>
      </c>
    </row>
    <row r="21" spans="1:19" s="58" customFormat="1" x14ac:dyDescent="0.25">
      <c r="A21" s="58">
        <v>2120</v>
      </c>
      <c r="B21" s="58">
        <v>1</v>
      </c>
      <c r="C21" s="58" t="s">
        <v>0</v>
      </c>
      <c r="D21" s="58" t="s">
        <v>1</v>
      </c>
      <c r="E21" s="58" t="s">
        <v>6</v>
      </c>
      <c r="F21" s="58" t="s">
        <v>73</v>
      </c>
      <c r="G21" s="59">
        <v>0.04</v>
      </c>
      <c r="H21" s="59">
        <v>0.25</v>
      </c>
      <c r="I21" s="59">
        <v>0.34699999999999998</v>
      </c>
      <c r="J21" s="58" t="s">
        <v>4</v>
      </c>
      <c r="K21" s="60">
        <v>0.25</v>
      </c>
      <c r="L21" s="58" t="s">
        <v>109</v>
      </c>
      <c r="M21" s="61" t="s">
        <v>7</v>
      </c>
      <c r="N21" s="58" t="s">
        <v>32</v>
      </c>
      <c r="O21" s="58" t="s">
        <v>106</v>
      </c>
      <c r="Q21" s="58">
        <v>58</v>
      </c>
      <c r="R21" s="58">
        <v>58</v>
      </c>
      <c r="S21" s="58">
        <v>58</v>
      </c>
    </row>
    <row r="22" spans="1:19" s="58" customFormat="1" x14ac:dyDescent="0.25">
      <c r="A22" s="58">
        <v>2121</v>
      </c>
      <c r="B22" s="58">
        <v>0</v>
      </c>
      <c r="C22" s="58" t="s">
        <v>0</v>
      </c>
      <c r="D22" s="58" t="s">
        <v>1</v>
      </c>
      <c r="E22" s="58" t="s">
        <v>79</v>
      </c>
      <c r="F22" s="58" t="s">
        <v>73</v>
      </c>
      <c r="G22" s="59">
        <v>3.5000000000000003E-2</v>
      </c>
      <c r="H22" s="59">
        <v>0.25</v>
      </c>
      <c r="I22" s="59">
        <v>0.15</v>
      </c>
      <c r="J22" s="58" t="s">
        <v>2</v>
      </c>
      <c r="K22" s="60">
        <v>0.25</v>
      </c>
      <c r="L22" s="58" t="s">
        <v>109</v>
      </c>
      <c r="M22" s="61" t="s">
        <v>111</v>
      </c>
      <c r="N22" s="58" t="s">
        <v>32</v>
      </c>
      <c r="O22" s="58" t="s">
        <v>106</v>
      </c>
    </row>
    <row r="23" spans="1:19" s="52" customFormat="1" x14ac:dyDescent="0.25">
      <c r="A23" s="52">
        <v>2102</v>
      </c>
      <c r="B23" s="52">
        <v>1</v>
      </c>
      <c r="C23" s="52" t="s">
        <v>0</v>
      </c>
      <c r="D23" s="52" t="s">
        <v>1</v>
      </c>
      <c r="E23" s="52" t="s">
        <v>79</v>
      </c>
      <c r="F23" s="52" t="s">
        <v>73</v>
      </c>
      <c r="G23" s="53">
        <v>3.5000000000000003E-2</v>
      </c>
      <c r="H23" s="53">
        <v>0.25</v>
      </c>
      <c r="I23" s="53">
        <v>0.57599999999999996</v>
      </c>
      <c r="J23" s="52" t="s">
        <v>2</v>
      </c>
      <c r="K23" s="54">
        <v>0.25</v>
      </c>
      <c r="L23" s="52" t="s">
        <v>108</v>
      </c>
      <c r="M23" s="65" t="s">
        <v>3</v>
      </c>
      <c r="N23" s="52" t="s">
        <v>32</v>
      </c>
      <c r="O23" s="52" t="s">
        <v>106</v>
      </c>
    </row>
    <row r="24" spans="1:19" s="52" customFormat="1" x14ac:dyDescent="0.25">
      <c r="A24" s="52">
        <v>2103</v>
      </c>
      <c r="B24" s="52">
        <v>1</v>
      </c>
      <c r="C24" s="52" t="s">
        <v>0</v>
      </c>
      <c r="D24" s="52" t="s">
        <v>1</v>
      </c>
      <c r="E24" s="52" t="s">
        <v>79</v>
      </c>
      <c r="F24" s="52" t="s">
        <v>73</v>
      </c>
      <c r="G24" s="53">
        <v>0.04</v>
      </c>
      <c r="H24" s="53">
        <v>0.25</v>
      </c>
      <c r="I24" s="53">
        <v>0.47799999999999998</v>
      </c>
      <c r="J24" s="52" t="s">
        <v>4</v>
      </c>
      <c r="K24" s="54">
        <v>0.25</v>
      </c>
      <c r="L24" s="52" t="s">
        <v>108</v>
      </c>
      <c r="M24" s="65" t="s">
        <v>5</v>
      </c>
      <c r="N24" s="52" t="s">
        <v>32</v>
      </c>
      <c r="O24" s="52" t="s">
        <v>106</v>
      </c>
      <c r="Q24" s="52">
        <v>45</v>
      </c>
      <c r="R24" s="52">
        <v>45</v>
      </c>
      <c r="S24" s="52">
        <v>45</v>
      </c>
    </row>
    <row r="25" spans="1:19" s="52" customFormat="1" x14ac:dyDescent="0.25">
      <c r="A25" s="52">
        <v>2104</v>
      </c>
      <c r="B25" s="52">
        <v>1</v>
      </c>
      <c r="C25" s="52" t="s">
        <v>0</v>
      </c>
      <c r="D25" s="52" t="s">
        <v>1</v>
      </c>
      <c r="E25" s="52" t="s">
        <v>6</v>
      </c>
      <c r="F25" s="52" t="s">
        <v>73</v>
      </c>
      <c r="G25" s="53">
        <v>0.04</v>
      </c>
      <c r="H25" s="53">
        <v>0.25</v>
      </c>
      <c r="I25" s="53">
        <v>0.34699999999999998</v>
      </c>
      <c r="J25" s="52" t="s">
        <v>4</v>
      </c>
      <c r="K25" s="54">
        <v>0.25</v>
      </c>
      <c r="L25" s="52" t="s">
        <v>108</v>
      </c>
      <c r="M25" s="65" t="s">
        <v>7</v>
      </c>
      <c r="N25" s="52" t="s">
        <v>32</v>
      </c>
      <c r="O25" s="52" t="s">
        <v>106</v>
      </c>
      <c r="Q25" s="52">
        <v>58</v>
      </c>
      <c r="R25" s="52">
        <v>58</v>
      </c>
      <c r="S25" s="52">
        <v>58</v>
      </c>
    </row>
    <row r="26" spans="1:19" s="52" customFormat="1" x14ac:dyDescent="0.25">
      <c r="A26" s="52">
        <v>2105</v>
      </c>
      <c r="B26" s="52">
        <v>1</v>
      </c>
      <c r="C26" s="52" t="s">
        <v>0</v>
      </c>
      <c r="D26" s="52" t="s">
        <v>1</v>
      </c>
      <c r="E26" s="52" t="s">
        <v>79</v>
      </c>
      <c r="F26" s="52" t="s">
        <v>73</v>
      </c>
      <c r="G26" s="53">
        <v>3.5000000000000003E-2</v>
      </c>
      <c r="H26" s="53">
        <v>0.25</v>
      </c>
      <c r="I26" s="53">
        <v>0.15</v>
      </c>
      <c r="J26" s="52" t="s">
        <v>2</v>
      </c>
      <c r="K26" s="54">
        <v>0.25</v>
      </c>
      <c r="L26" s="52" t="s">
        <v>108</v>
      </c>
      <c r="M26" s="65" t="s">
        <v>111</v>
      </c>
      <c r="N26" s="52" t="s">
        <v>32</v>
      </c>
      <c r="O26" s="52" t="s">
        <v>106</v>
      </c>
    </row>
    <row r="27" spans="1:19" s="58" customFormat="1" x14ac:dyDescent="0.25">
      <c r="A27" s="58">
        <v>2122</v>
      </c>
      <c r="B27" s="58">
        <v>1</v>
      </c>
      <c r="C27" s="58" t="s">
        <v>0</v>
      </c>
      <c r="D27" s="58" t="s">
        <v>110</v>
      </c>
      <c r="E27" s="58" t="s">
        <v>79</v>
      </c>
      <c r="F27" s="58" t="s">
        <v>73</v>
      </c>
      <c r="G27" s="59">
        <v>3.5000000000000003E-2</v>
      </c>
      <c r="H27" s="59">
        <v>0.25</v>
      </c>
      <c r="I27" s="59">
        <f>ROUND(0.75-((0.75-I19)/(1+0.1)),3)</f>
        <v>0.59199999999999997</v>
      </c>
      <c r="J27" s="58" t="s">
        <v>2</v>
      </c>
      <c r="K27" s="60">
        <v>0.25</v>
      </c>
      <c r="L27" s="58" t="s">
        <v>109</v>
      </c>
      <c r="M27" s="61" t="s">
        <v>113</v>
      </c>
      <c r="N27" s="58" t="s">
        <v>32</v>
      </c>
      <c r="O27" s="58" t="s">
        <v>106</v>
      </c>
    </row>
    <row r="28" spans="1:19" s="58" customFormat="1" x14ac:dyDescent="0.25">
      <c r="A28" s="58">
        <v>2123</v>
      </c>
      <c r="B28" s="58">
        <v>1</v>
      </c>
      <c r="C28" s="58" t="s">
        <v>0</v>
      </c>
      <c r="D28" s="58" t="s">
        <v>110</v>
      </c>
      <c r="E28" s="58" t="s">
        <v>79</v>
      </c>
      <c r="F28" s="58" t="s">
        <v>73</v>
      </c>
      <c r="G28" s="59">
        <v>0.04</v>
      </c>
      <c r="H28" s="59">
        <v>0.25</v>
      </c>
      <c r="I28" s="59">
        <f t="shared" ref="I28:I34" si="0">ROUND(0.75-((0.75-I20)/(1+0.1)),3)</f>
        <v>0.503</v>
      </c>
      <c r="J28" s="58" t="s">
        <v>4</v>
      </c>
      <c r="K28" s="60">
        <v>0.25</v>
      </c>
      <c r="L28" s="58" t="s">
        <v>109</v>
      </c>
      <c r="M28" s="61" t="s">
        <v>5</v>
      </c>
      <c r="N28" s="58" t="s">
        <v>32</v>
      </c>
      <c r="O28" s="58" t="s">
        <v>106</v>
      </c>
      <c r="Q28" s="58">
        <v>45</v>
      </c>
      <c r="R28" s="58">
        <v>45</v>
      </c>
      <c r="S28" s="58">
        <v>45</v>
      </c>
    </row>
    <row r="29" spans="1:19" s="58" customFormat="1" x14ac:dyDescent="0.25">
      <c r="A29" s="58">
        <v>2124</v>
      </c>
      <c r="B29" s="58">
        <v>1</v>
      </c>
      <c r="C29" s="58" t="s">
        <v>0</v>
      </c>
      <c r="D29" s="58" t="s">
        <v>110</v>
      </c>
      <c r="E29" s="58" t="s">
        <v>6</v>
      </c>
      <c r="F29" s="58" t="s">
        <v>73</v>
      </c>
      <c r="G29" s="59">
        <v>0.04</v>
      </c>
      <c r="H29" s="59">
        <v>0.25</v>
      </c>
      <c r="I29" s="59">
        <f t="shared" si="0"/>
        <v>0.38400000000000001</v>
      </c>
      <c r="J29" s="58" t="s">
        <v>4</v>
      </c>
      <c r="K29" s="60">
        <v>0.25</v>
      </c>
      <c r="L29" s="58" t="s">
        <v>109</v>
      </c>
      <c r="M29" s="61" t="s">
        <v>7</v>
      </c>
      <c r="N29" s="58" t="s">
        <v>32</v>
      </c>
      <c r="O29" s="58" t="s">
        <v>106</v>
      </c>
      <c r="Q29" s="58">
        <v>58</v>
      </c>
      <c r="R29" s="58">
        <v>58</v>
      </c>
      <c r="S29" s="58">
        <v>58</v>
      </c>
    </row>
    <row r="30" spans="1:19" s="58" customFormat="1" x14ac:dyDescent="0.25">
      <c r="A30" s="58">
        <v>2125</v>
      </c>
      <c r="B30" s="58">
        <v>0</v>
      </c>
      <c r="C30" s="58" t="s">
        <v>0</v>
      </c>
      <c r="D30" s="58" t="s">
        <v>110</v>
      </c>
      <c r="E30" s="58" t="s">
        <v>79</v>
      </c>
      <c r="F30" s="58" t="s">
        <v>73</v>
      </c>
      <c r="G30" s="59">
        <v>3.5000000000000003E-2</v>
      </c>
      <c r="H30" s="59">
        <v>0.25</v>
      </c>
      <c r="I30" s="59">
        <f t="shared" si="0"/>
        <v>0.20499999999999999</v>
      </c>
      <c r="J30" s="58" t="s">
        <v>2</v>
      </c>
      <c r="K30" s="60">
        <v>0.25</v>
      </c>
      <c r="L30" s="58" t="s">
        <v>109</v>
      </c>
      <c r="M30" s="61" t="s">
        <v>111</v>
      </c>
      <c r="N30" s="58" t="s">
        <v>32</v>
      </c>
      <c r="O30" s="58" t="s">
        <v>106</v>
      </c>
    </row>
    <row r="31" spans="1:19" s="52" customFormat="1" x14ac:dyDescent="0.25">
      <c r="A31" s="52">
        <v>2106</v>
      </c>
      <c r="B31" s="52">
        <v>1</v>
      </c>
      <c r="C31" s="52" t="s">
        <v>0</v>
      </c>
      <c r="D31" s="58" t="s">
        <v>110</v>
      </c>
      <c r="E31" s="52" t="s">
        <v>79</v>
      </c>
      <c r="F31" s="52" t="s">
        <v>73</v>
      </c>
      <c r="G31" s="53">
        <v>3.5000000000000003E-2</v>
      </c>
      <c r="H31" s="53">
        <v>0.25</v>
      </c>
      <c r="I31" s="53">
        <f t="shared" si="0"/>
        <v>0.59199999999999997</v>
      </c>
      <c r="J31" s="52" t="s">
        <v>2</v>
      </c>
      <c r="K31" s="54">
        <v>0.25</v>
      </c>
      <c r="L31" s="52" t="s">
        <v>108</v>
      </c>
      <c r="M31" s="65" t="s">
        <v>113</v>
      </c>
      <c r="N31" s="52" t="s">
        <v>32</v>
      </c>
      <c r="O31" s="52" t="s">
        <v>106</v>
      </c>
    </row>
    <row r="32" spans="1:19" s="52" customFormat="1" x14ac:dyDescent="0.25">
      <c r="A32" s="52">
        <v>2107</v>
      </c>
      <c r="B32" s="52">
        <v>1</v>
      </c>
      <c r="C32" s="52" t="s">
        <v>0</v>
      </c>
      <c r="D32" s="58" t="s">
        <v>110</v>
      </c>
      <c r="E32" s="52" t="s">
        <v>79</v>
      </c>
      <c r="F32" s="52" t="s">
        <v>73</v>
      </c>
      <c r="G32" s="53">
        <v>0.04</v>
      </c>
      <c r="H32" s="53">
        <v>0.25</v>
      </c>
      <c r="I32" s="53">
        <f t="shared" si="0"/>
        <v>0.503</v>
      </c>
      <c r="J32" s="52" t="s">
        <v>4</v>
      </c>
      <c r="K32" s="54">
        <v>0.25</v>
      </c>
      <c r="L32" s="52" t="s">
        <v>108</v>
      </c>
      <c r="M32" s="65" t="s">
        <v>5</v>
      </c>
      <c r="N32" s="52" t="s">
        <v>32</v>
      </c>
      <c r="O32" s="52" t="s">
        <v>106</v>
      </c>
      <c r="Q32" s="52">
        <v>45</v>
      </c>
      <c r="R32" s="52">
        <v>45</v>
      </c>
      <c r="S32" s="52">
        <v>45</v>
      </c>
    </row>
    <row r="33" spans="1:19" s="52" customFormat="1" x14ac:dyDescent="0.25">
      <c r="A33" s="52">
        <v>2108</v>
      </c>
      <c r="B33" s="52">
        <v>1</v>
      </c>
      <c r="C33" s="52" t="s">
        <v>0</v>
      </c>
      <c r="D33" s="58" t="s">
        <v>110</v>
      </c>
      <c r="E33" s="52" t="s">
        <v>6</v>
      </c>
      <c r="F33" s="52" t="s">
        <v>73</v>
      </c>
      <c r="G33" s="53">
        <v>0.04</v>
      </c>
      <c r="H33" s="53">
        <v>0.25</v>
      </c>
      <c r="I33" s="53">
        <f t="shared" si="0"/>
        <v>0.38400000000000001</v>
      </c>
      <c r="J33" s="52" t="s">
        <v>4</v>
      </c>
      <c r="K33" s="54">
        <v>0.25</v>
      </c>
      <c r="L33" s="52" t="s">
        <v>108</v>
      </c>
      <c r="M33" s="65" t="s">
        <v>7</v>
      </c>
      <c r="N33" s="52" t="s">
        <v>32</v>
      </c>
      <c r="O33" s="52" t="s">
        <v>106</v>
      </c>
      <c r="Q33" s="52">
        <v>58</v>
      </c>
      <c r="R33" s="52">
        <v>58</v>
      </c>
      <c r="S33" s="52">
        <v>58</v>
      </c>
    </row>
    <row r="34" spans="1:19" s="52" customFormat="1" x14ac:dyDescent="0.25">
      <c r="A34" s="52">
        <v>2109</v>
      </c>
      <c r="B34" s="52">
        <v>1</v>
      </c>
      <c r="C34" s="52" t="s">
        <v>0</v>
      </c>
      <c r="D34" s="58" t="s">
        <v>110</v>
      </c>
      <c r="E34" s="52" t="s">
        <v>79</v>
      </c>
      <c r="F34" s="52" t="s">
        <v>73</v>
      </c>
      <c r="G34" s="53">
        <v>3.5000000000000003E-2</v>
      </c>
      <c r="H34" s="53">
        <v>0.25</v>
      </c>
      <c r="I34" s="53">
        <f t="shared" si="0"/>
        <v>0.20499999999999999</v>
      </c>
      <c r="J34" s="52" t="s">
        <v>2</v>
      </c>
      <c r="K34" s="54">
        <v>0.25</v>
      </c>
      <c r="L34" s="52" t="s">
        <v>108</v>
      </c>
      <c r="M34" s="65" t="s">
        <v>111</v>
      </c>
      <c r="N34" s="52" t="s">
        <v>32</v>
      </c>
      <c r="O34" s="52" t="s">
        <v>106</v>
      </c>
    </row>
    <row r="35" spans="1:19" s="58" customFormat="1" x14ac:dyDescent="0.25">
      <c r="A35" s="58">
        <v>2126</v>
      </c>
      <c r="B35" s="58">
        <v>1</v>
      </c>
      <c r="C35" s="58" t="s">
        <v>0</v>
      </c>
      <c r="D35" s="58" t="s">
        <v>110</v>
      </c>
      <c r="E35" s="58" t="s">
        <v>79</v>
      </c>
      <c r="F35" s="58" t="s">
        <v>73</v>
      </c>
      <c r="G35" s="59">
        <v>3.5000000000000003E-2</v>
      </c>
      <c r="H35" s="59">
        <v>0.25</v>
      </c>
      <c r="I35" s="59">
        <f>ROUND(0.75-((0.75-I19)/(1+0.25)),3)</f>
        <v>0.61099999999999999</v>
      </c>
      <c r="J35" s="58" t="s">
        <v>2</v>
      </c>
      <c r="K35" s="60">
        <v>0.25</v>
      </c>
      <c r="L35" s="58" t="s">
        <v>109</v>
      </c>
      <c r="M35" s="61" t="s">
        <v>112</v>
      </c>
      <c r="N35" s="58" t="s">
        <v>32</v>
      </c>
      <c r="O35" s="58" t="s">
        <v>106</v>
      </c>
    </row>
    <row r="36" spans="1:19" s="58" customFormat="1" x14ac:dyDescent="0.25">
      <c r="A36" s="58">
        <v>2127</v>
      </c>
      <c r="B36" s="58">
        <v>1</v>
      </c>
      <c r="C36" s="58" t="s">
        <v>0</v>
      </c>
      <c r="D36" s="58" t="s">
        <v>110</v>
      </c>
      <c r="E36" s="58" t="s">
        <v>79</v>
      </c>
      <c r="F36" s="58" t="s">
        <v>73</v>
      </c>
      <c r="G36" s="59">
        <v>0.04</v>
      </c>
      <c r="H36" s="59">
        <v>0.25</v>
      </c>
      <c r="I36" s="59">
        <f t="shared" ref="I36:I42" si="1">ROUND(0.75-((0.75-I20)/(1+0.25)),3)</f>
        <v>0.53200000000000003</v>
      </c>
      <c r="J36" s="58" t="s">
        <v>4</v>
      </c>
      <c r="K36" s="60">
        <v>0.25</v>
      </c>
      <c r="L36" s="58" t="s">
        <v>109</v>
      </c>
      <c r="M36" s="61" t="s">
        <v>5</v>
      </c>
      <c r="N36" s="58" t="s">
        <v>32</v>
      </c>
      <c r="O36" s="58" t="s">
        <v>106</v>
      </c>
      <c r="Q36" s="58">
        <v>45</v>
      </c>
      <c r="R36" s="58">
        <v>45</v>
      </c>
      <c r="S36" s="58">
        <v>45</v>
      </c>
    </row>
    <row r="37" spans="1:19" s="58" customFormat="1" x14ac:dyDescent="0.25">
      <c r="A37" s="58">
        <v>2128</v>
      </c>
      <c r="B37" s="58">
        <v>1</v>
      </c>
      <c r="C37" s="58" t="s">
        <v>0</v>
      </c>
      <c r="D37" s="58" t="s">
        <v>110</v>
      </c>
      <c r="E37" s="58" t="s">
        <v>6</v>
      </c>
      <c r="F37" s="58" t="s">
        <v>73</v>
      </c>
      <c r="G37" s="59">
        <v>0.04</v>
      </c>
      <c r="H37" s="59">
        <v>0.25</v>
      </c>
      <c r="I37" s="59">
        <f t="shared" si="1"/>
        <v>0.42799999999999999</v>
      </c>
      <c r="J37" s="58" t="s">
        <v>4</v>
      </c>
      <c r="K37" s="60">
        <v>0.25</v>
      </c>
      <c r="L37" s="58" t="s">
        <v>109</v>
      </c>
      <c r="M37" s="61" t="s">
        <v>7</v>
      </c>
      <c r="N37" s="58" t="s">
        <v>32</v>
      </c>
      <c r="O37" s="58" t="s">
        <v>106</v>
      </c>
      <c r="Q37" s="58">
        <v>58</v>
      </c>
      <c r="R37" s="58">
        <v>58</v>
      </c>
      <c r="S37" s="58">
        <v>58</v>
      </c>
    </row>
    <row r="38" spans="1:19" s="58" customFormat="1" x14ac:dyDescent="0.25">
      <c r="A38" s="58">
        <v>2129</v>
      </c>
      <c r="B38" s="58">
        <v>0</v>
      </c>
      <c r="C38" s="58" t="s">
        <v>0</v>
      </c>
      <c r="D38" s="58" t="s">
        <v>110</v>
      </c>
      <c r="E38" s="58" t="s">
        <v>79</v>
      </c>
      <c r="F38" s="58" t="s">
        <v>73</v>
      </c>
      <c r="G38" s="59">
        <v>3.5000000000000003E-2</v>
      </c>
      <c r="H38" s="59">
        <v>0.25</v>
      </c>
      <c r="I38" s="59">
        <f t="shared" si="1"/>
        <v>0.27</v>
      </c>
      <c r="J38" s="58" t="s">
        <v>2</v>
      </c>
      <c r="K38" s="60">
        <v>0.25</v>
      </c>
      <c r="L38" s="58" t="s">
        <v>109</v>
      </c>
      <c r="M38" s="61" t="s">
        <v>111</v>
      </c>
      <c r="N38" s="58" t="s">
        <v>32</v>
      </c>
      <c r="O38" s="58" t="s">
        <v>106</v>
      </c>
    </row>
    <row r="39" spans="1:19" s="52" customFormat="1" x14ac:dyDescent="0.25">
      <c r="A39" s="52">
        <v>2110</v>
      </c>
      <c r="B39" s="52">
        <v>1</v>
      </c>
      <c r="C39" s="52" t="s">
        <v>0</v>
      </c>
      <c r="D39" s="58" t="s">
        <v>110</v>
      </c>
      <c r="E39" s="52" t="s">
        <v>79</v>
      </c>
      <c r="F39" s="52" t="s">
        <v>73</v>
      </c>
      <c r="G39" s="53">
        <v>3.5000000000000003E-2</v>
      </c>
      <c r="H39" s="53">
        <v>0.25</v>
      </c>
      <c r="I39" s="53">
        <f t="shared" si="1"/>
        <v>0.61099999999999999</v>
      </c>
      <c r="J39" s="52" t="s">
        <v>2</v>
      </c>
      <c r="K39" s="54">
        <v>0.25</v>
      </c>
      <c r="L39" s="52" t="s">
        <v>108</v>
      </c>
      <c r="M39" s="65" t="s">
        <v>112</v>
      </c>
      <c r="N39" s="52" t="s">
        <v>32</v>
      </c>
      <c r="O39" s="52" t="s">
        <v>106</v>
      </c>
    </row>
    <row r="40" spans="1:19" s="52" customFormat="1" x14ac:dyDescent="0.25">
      <c r="A40" s="52">
        <v>2111</v>
      </c>
      <c r="B40" s="52">
        <v>1</v>
      </c>
      <c r="C40" s="52" t="s">
        <v>0</v>
      </c>
      <c r="D40" s="58" t="s">
        <v>110</v>
      </c>
      <c r="E40" s="52" t="s">
        <v>79</v>
      </c>
      <c r="F40" s="52" t="s">
        <v>73</v>
      </c>
      <c r="G40" s="53">
        <v>0.04</v>
      </c>
      <c r="H40" s="53">
        <v>0.25</v>
      </c>
      <c r="I40" s="53">
        <f t="shared" si="1"/>
        <v>0.53200000000000003</v>
      </c>
      <c r="J40" s="52" t="s">
        <v>4</v>
      </c>
      <c r="K40" s="54">
        <v>0.25</v>
      </c>
      <c r="L40" s="52" t="s">
        <v>108</v>
      </c>
      <c r="M40" s="65" t="s">
        <v>5</v>
      </c>
      <c r="N40" s="52" t="s">
        <v>32</v>
      </c>
      <c r="O40" s="52" t="s">
        <v>106</v>
      </c>
      <c r="Q40" s="52">
        <v>45</v>
      </c>
      <c r="R40" s="52">
        <v>45</v>
      </c>
      <c r="S40" s="52">
        <v>45</v>
      </c>
    </row>
    <row r="41" spans="1:19" s="52" customFormat="1" x14ac:dyDescent="0.25">
      <c r="A41" s="52">
        <v>2112</v>
      </c>
      <c r="B41" s="52">
        <v>1</v>
      </c>
      <c r="C41" s="52" t="s">
        <v>0</v>
      </c>
      <c r="D41" s="58" t="s">
        <v>110</v>
      </c>
      <c r="E41" s="52" t="s">
        <v>6</v>
      </c>
      <c r="F41" s="52" t="s">
        <v>73</v>
      </c>
      <c r="G41" s="53">
        <v>0.04</v>
      </c>
      <c r="H41" s="53">
        <v>0.25</v>
      </c>
      <c r="I41" s="53">
        <f t="shared" si="1"/>
        <v>0.42799999999999999</v>
      </c>
      <c r="J41" s="52" t="s">
        <v>4</v>
      </c>
      <c r="K41" s="54">
        <v>0.25</v>
      </c>
      <c r="L41" s="52" t="s">
        <v>108</v>
      </c>
      <c r="M41" s="65" t="s">
        <v>7</v>
      </c>
      <c r="N41" s="52" t="s">
        <v>32</v>
      </c>
      <c r="O41" s="52" t="s">
        <v>106</v>
      </c>
      <c r="Q41" s="52">
        <v>58</v>
      </c>
      <c r="R41" s="52">
        <v>58</v>
      </c>
      <c r="S41" s="52">
        <v>58</v>
      </c>
    </row>
    <row r="42" spans="1:19" s="52" customFormat="1" x14ac:dyDescent="0.25">
      <c r="A42" s="52">
        <v>2113</v>
      </c>
      <c r="B42" s="52">
        <v>1</v>
      </c>
      <c r="C42" s="52" t="s">
        <v>0</v>
      </c>
      <c r="D42" s="58" t="s">
        <v>110</v>
      </c>
      <c r="E42" s="52" t="s">
        <v>79</v>
      </c>
      <c r="F42" s="52" t="s">
        <v>73</v>
      </c>
      <c r="G42" s="53">
        <v>3.5000000000000003E-2</v>
      </c>
      <c r="H42" s="53">
        <v>0.25</v>
      </c>
      <c r="I42" s="53">
        <f t="shared" si="1"/>
        <v>0.27</v>
      </c>
      <c r="J42" s="52" t="s">
        <v>2</v>
      </c>
      <c r="K42" s="54">
        <v>0.25</v>
      </c>
      <c r="L42" s="52" t="s">
        <v>108</v>
      </c>
      <c r="M42" s="65" t="s">
        <v>111</v>
      </c>
      <c r="N42" s="52" t="s">
        <v>32</v>
      </c>
      <c r="O42" s="52" t="s">
        <v>106</v>
      </c>
    </row>
    <row r="1048357" spans="15:15" x14ac:dyDescent="0.25">
      <c r="O1048357" s="48"/>
    </row>
  </sheetData>
  <dataValidations disablePrompts="1" count="1">
    <dataValidation type="list" allowBlank="1" showInputMessage="1" showErrorMessage="1" sqref="N11:N13 N19:N21 N3:N5 N27:N29 N35:N37">
      <formula1>"serbest,kuralli"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2:O127"/>
  <sheetViews>
    <sheetView workbookViewId="0">
      <selection activeCell="C16" sqref="C16"/>
    </sheetView>
  </sheetViews>
  <sheetFormatPr defaultColWidth="9.140625" defaultRowHeight="15" x14ac:dyDescent="0.25"/>
  <cols>
    <col min="1" max="1" width="15.42578125" style="16" bestFit="1" customWidth="1"/>
    <col min="2" max="2" width="11.5703125" style="16" bestFit="1" customWidth="1"/>
    <col min="3" max="3" width="9.28515625" style="16" bestFit="1" customWidth="1"/>
    <col min="4" max="4" width="14.85546875" style="16" bestFit="1" customWidth="1"/>
    <col min="5" max="5" width="12.140625" style="16" bestFit="1" customWidth="1"/>
    <col min="6" max="6" width="12.7109375" style="16" bestFit="1" customWidth="1"/>
    <col min="7" max="7" width="13.85546875" style="16" bestFit="1" customWidth="1"/>
    <col min="8" max="8" width="16.42578125" style="16" bestFit="1" customWidth="1"/>
    <col min="9" max="9" width="10.140625" style="16" bestFit="1" customWidth="1"/>
    <col min="10" max="10" width="12.7109375" style="16" bestFit="1" customWidth="1"/>
    <col min="11" max="11" width="13.85546875" style="16" bestFit="1" customWidth="1"/>
    <col min="12" max="12" width="9.5703125" style="16" bestFit="1" customWidth="1"/>
    <col min="13" max="16384" width="9.140625" style="16"/>
  </cols>
  <sheetData>
    <row r="2" spans="1:12" ht="16.5" thickBot="1" x14ac:dyDescent="0.3">
      <c r="A2" s="13" t="s">
        <v>40</v>
      </c>
      <c r="B2" s="14" t="s">
        <v>25</v>
      </c>
      <c r="C2" s="15"/>
      <c r="E2" s="17"/>
      <c r="G2" s="15"/>
      <c r="H2" s="15"/>
      <c r="I2" s="15"/>
      <c r="J2" s="15"/>
      <c r="K2" s="15"/>
      <c r="L2" s="15"/>
    </row>
    <row r="3" spans="1:12" ht="15.75" thickTop="1" x14ac:dyDescent="0.25">
      <c r="A3" s="1" t="e">
        <f>CONCATENATE(mortalite_tablosu,IF(Hesap!B22="karma","KARMA",Hesap!B10))</f>
        <v>#N/A</v>
      </c>
      <c r="B3" s="18" t="e">
        <f>1+tfo</f>
        <v>#N/A</v>
      </c>
      <c r="C3" s="17"/>
      <c r="D3" s="17"/>
      <c r="E3" s="17"/>
      <c r="F3" s="15"/>
      <c r="G3" s="15"/>
      <c r="H3" s="15"/>
      <c r="I3" s="15"/>
      <c r="J3" s="15"/>
      <c r="K3" s="15"/>
      <c r="L3" s="15"/>
    </row>
    <row r="4" spans="1:12" x14ac:dyDescent="0.25">
      <c r="A4" s="17"/>
      <c r="B4" s="17"/>
      <c r="C4" s="17"/>
      <c r="D4" s="17"/>
      <c r="E4" s="17" t="s">
        <v>42</v>
      </c>
      <c r="F4" s="15"/>
      <c r="G4" s="15"/>
      <c r="H4" s="15"/>
      <c r="I4" s="15"/>
      <c r="J4" s="15"/>
      <c r="K4" s="15"/>
      <c r="L4" s="15"/>
    </row>
    <row r="5" spans="1:12" ht="19.5" thickBot="1" x14ac:dyDescent="0.4">
      <c r="A5" s="13" t="s">
        <v>26</v>
      </c>
      <c r="B5" s="14" t="s">
        <v>43</v>
      </c>
      <c r="C5" s="14" t="s">
        <v>44</v>
      </c>
      <c r="D5" s="14" t="s">
        <v>45</v>
      </c>
      <c r="E5" s="14" t="s">
        <v>46</v>
      </c>
      <c r="F5" s="14" t="s">
        <v>47</v>
      </c>
      <c r="G5" s="14" t="s">
        <v>48</v>
      </c>
      <c r="H5" s="14" t="s">
        <v>49</v>
      </c>
      <c r="I5" s="14" t="s">
        <v>50</v>
      </c>
      <c r="J5" s="14" t="s">
        <v>51</v>
      </c>
      <c r="K5" s="14" t="s">
        <v>52</v>
      </c>
      <c r="L5" s="19" t="s">
        <v>53</v>
      </c>
    </row>
    <row r="6" spans="1:12" ht="15.75" thickTop="1" x14ac:dyDescent="0.25">
      <c r="A6" s="20">
        <v>0</v>
      </c>
      <c r="B6" s="21" t="e">
        <f>VLOOKUP(A6,'qx''ler'!$1:$1048576,MATCH(komutasyon_tablo!$A$3,'qx''ler'!$1:$1,0),FALSE)</f>
        <v>#N/A</v>
      </c>
      <c r="C6" s="21" t="e">
        <f t="shared" ref="C6:C69" si="0">1-B6</f>
        <v>#N/A</v>
      </c>
      <c r="D6" s="22">
        <v>10000000</v>
      </c>
      <c r="E6" s="22" t="e">
        <f t="shared" ref="E6:E69" si="1">D6*B6</f>
        <v>#N/A</v>
      </c>
      <c r="F6" s="23" t="e">
        <f>D6*(1/($B$3^A6))</f>
        <v>#N/A</v>
      </c>
      <c r="G6" s="23" t="e">
        <f>SUM(F6:F$127)</f>
        <v>#N/A</v>
      </c>
      <c r="H6" s="23" t="e">
        <f>SUM(G6:$G$127)</f>
        <v>#N/A</v>
      </c>
      <c r="I6" s="23" t="e">
        <f>E6*(1/($B$3^(A6+1)))</f>
        <v>#N/A</v>
      </c>
      <c r="J6" s="23" t="e">
        <f>SUM(I6:I$127)</f>
        <v>#N/A</v>
      </c>
      <c r="K6" s="23" t="e">
        <f>SUM(J6:J$127)</f>
        <v>#N/A</v>
      </c>
      <c r="L6" s="24" t="e">
        <f t="shared" ref="L6:L69" si="2">I6/F6</f>
        <v>#N/A</v>
      </c>
    </row>
    <row r="7" spans="1:12" x14ac:dyDescent="0.25">
      <c r="A7" s="20">
        <f t="shared" ref="A7:A70" si="3">A6+1</f>
        <v>1</v>
      </c>
      <c r="B7" s="21" t="e">
        <f>VLOOKUP(A7,'qx''ler'!$1:$1048576,MATCH(komutasyon_tablo!$A$3,'qx''ler'!$1:$1,0),FALSE)</f>
        <v>#N/A</v>
      </c>
      <c r="C7" s="21" t="e">
        <f t="shared" si="0"/>
        <v>#N/A</v>
      </c>
      <c r="D7" s="22" t="e">
        <f t="shared" ref="D7:D70" si="4">D6-E6</f>
        <v>#N/A</v>
      </c>
      <c r="E7" s="22" t="e">
        <f t="shared" si="1"/>
        <v>#N/A</v>
      </c>
      <c r="F7" s="23" t="e">
        <f t="shared" ref="F7:F70" si="5">D7*(1/($B$3^A7))</f>
        <v>#N/A</v>
      </c>
      <c r="G7" s="23" t="e">
        <f>SUM(F7:F$127)</f>
        <v>#N/A</v>
      </c>
      <c r="H7" s="23" t="e">
        <f>SUM(G7:$G$127)</f>
        <v>#N/A</v>
      </c>
      <c r="I7" s="23" t="e">
        <f t="shared" ref="I7:I70" si="6">E7*(1/($B$3^(A7+1)))</f>
        <v>#N/A</v>
      </c>
      <c r="J7" s="23" t="e">
        <f>SUM(I7:I$127)</f>
        <v>#N/A</v>
      </c>
      <c r="K7" s="23" t="e">
        <f>SUM(J7:J$127)</f>
        <v>#N/A</v>
      </c>
      <c r="L7" s="24" t="e">
        <f t="shared" si="2"/>
        <v>#N/A</v>
      </c>
    </row>
    <row r="8" spans="1:12" x14ac:dyDescent="0.25">
      <c r="A8" s="20">
        <f t="shared" si="3"/>
        <v>2</v>
      </c>
      <c r="B8" s="21" t="e">
        <f>VLOOKUP(A8,'qx''ler'!$1:$1048576,MATCH(komutasyon_tablo!$A$3,'qx''ler'!$1:$1,0),FALSE)</f>
        <v>#N/A</v>
      </c>
      <c r="C8" s="21" t="e">
        <f t="shared" si="0"/>
        <v>#N/A</v>
      </c>
      <c r="D8" s="22" t="e">
        <f t="shared" si="4"/>
        <v>#N/A</v>
      </c>
      <c r="E8" s="22" t="e">
        <f t="shared" si="1"/>
        <v>#N/A</v>
      </c>
      <c r="F8" s="23" t="e">
        <f t="shared" si="5"/>
        <v>#N/A</v>
      </c>
      <c r="G8" s="23" t="e">
        <f>SUM(F8:F$127)</f>
        <v>#N/A</v>
      </c>
      <c r="H8" s="23" t="e">
        <f>SUM(G8:$G$127)</f>
        <v>#N/A</v>
      </c>
      <c r="I8" s="23" t="e">
        <f t="shared" si="6"/>
        <v>#N/A</v>
      </c>
      <c r="J8" s="23" t="e">
        <f>SUM(I8:I$127)</f>
        <v>#N/A</v>
      </c>
      <c r="K8" s="23" t="e">
        <f>SUM(J8:J$127)</f>
        <v>#N/A</v>
      </c>
      <c r="L8" s="24" t="e">
        <f t="shared" si="2"/>
        <v>#N/A</v>
      </c>
    </row>
    <row r="9" spans="1:12" x14ac:dyDescent="0.25">
      <c r="A9" s="20">
        <f t="shared" si="3"/>
        <v>3</v>
      </c>
      <c r="B9" s="21" t="e">
        <f>VLOOKUP(A9,'qx''ler'!$1:$1048576,MATCH(komutasyon_tablo!$A$3,'qx''ler'!$1:$1,0),FALSE)</f>
        <v>#N/A</v>
      </c>
      <c r="C9" s="21" t="e">
        <f t="shared" si="0"/>
        <v>#N/A</v>
      </c>
      <c r="D9" s="22" t="e">
        <f t="shared" si="4"/>
        <v>#N/A</v>
      </c>
      <c r="E9" s="22" t="e">
        <f t="shared" si="1"/>
        <v>#N/A</v>
      </c>
      <c r="F9" s="23" t="e">
        <f t="shared" si="5"/>
        <v>#N/A</v>
      </c>
      <c r="G9" s="23" t="e">
        <f>SUM(F9:F$127)</f>
        <v>#N/A</v>
      </c>
      <c r="H9" s="23" t="e">
        <f>SUM(G9:$G$127)</f>
        <v>#N/A</v>
      </c>
      <c r="I9" s="23" t="e">
        <f t="shared" si="6"/>
        <v>#N/A</v>
      </c>
      <c r="J9" s="23" t="e">
        <f>SUM(I9:I$127)</f>
        <v>#N/A</v>
      </c>
      <c r="K9" s="23" t="e">
        <f>SUM(J9:J$127)</f>
        <v>#N/A</v>
      </c>
      <c r="L9" s="24" t="e">
        <f t="shared" si="2"/>
        <v>#N/A</v>
      </c>
    </row>
    <row r="10" spans="1:12" x14ac:dyDescent="0.25">
      <c r="A10" s="20">
        <f t="shared" si="3"/>
        <v>4</v>
      </c>
      <c r="B10" s="21" t="e">
        <f>VLOOKUP(A10,'qx''ler'!$1:$1048576,MATCH(komutasyon_tablo!$A$3,'qx''ler'!$1:$1,0),FALSE)</f>
        <v>#N/A</v>
      </c>
      <c r="C10" s="21" t="e">
        <f t="shared" si="0"/>
        <v>#N/A</v>
      </c>
      <c r="D10" s="22" t="e">
        <f t="shared" si="4"/>
        <v>#N/A</v>
      </c>
      <c r="E10" s="22" t="e">
        <f t="shared" si="1"/>
        <v>#N/A</v>
      </c>
      <c r="F10" s="23" t="e">
        <f t="shared" si="5"/>
        <v>#N/A</v>
      </c>
      <c r="G10" s="23" t="e">
        <f>SUM(F10:F$127)</f>
        <v>#N/A</v>
      </c>
      <c r="H10" s="23" t="e">
        <f>SUM(G10:$G$127)</f>
        <v>#N/A</v>
      </c>
      <c r="I10" s="23" t="e">
        <f t="shared" si="6"/>
        <v>#N/A</v>
      </c>
      <c r="J10" s="23" t="e">
        <f>SUM(I10:I$127)</f>
        <v>#N/A</v>
      </c>
      <c r="K10" s="23" t="e">
        <f>SUM(J10:J$127)</f>
        <v>#N/A</v>
      </c>
      <c r="L10" s="24" t="e">
        <f t="shared" si="2"/>
        <v>#N/A</v>
      </c>
    </row>
    <row r="11" spans="1:12" x14ac:dyDescent="0.25">
      <c r="A11" s="20">
        <f t="shared" si="3"/>
        <v>5</v>
      </c>
      <c r="B11" s="21" t="e">
        <f>VLOOKUP(A11,'qx''ler'!$1:$1048576,MATCH(komutasyon_tablo!$A$3,'qx''ler'!$1:$1,0),FALSE)</f>
        <v>#N/A</v>
      </c>
      <c r="C11" s="21" t="e">
        <f t="shared" si="0"/>
        <v>#N/A</v>
      </c>
      <c r="D11" s="22" t="e">
        <f t="shared" si="4"/>
        <v>#N/A</v>
      </c>
      <c r="E11" s="22" t="e">
        <f t="shared" si="1"/>
        <v>#N/A</v>
      </c>
      <c r="F11" s="23" t="e">
        <f t="shared" si="5"/>
        <v>#N/A</v>
      </c>
      <c r="G11" s="23" t="e">
        <f>SUM(F11:F$127)</f>
        <v>#N/A</v>
      </c>
      <c r="H11" s="23" t="e">
        <f>SUM(G11:$G$127)</f>
        <v>#N/A</v>
      </c>
      <c r="I11" s="23" t="e">
        <f t="shared" si="6"/>
        <v>#N/A</v>
      </c>
      <c r="J11" s="23" t="e">
        <f>SUM(I11:I$127)</f>
        <v>#N/A</v>
      </c>
      <c r="K11" s="23" t="e">
        <f>SUM(J11:J$127)</f>
        <v>#N/A</v>
      </c>
      <c r="L11" s="24" t="e">
        <f t="shared" si="2"/>
        <v>#N/A</v>
      </c>
    </row>
    <row r="12" spans="1:12" x14ac:dyDescent="0.25">
      <c r="A12" s="20">
        <f t="shared" si="3"/>
        <v>6</v>
      </c>
      <c r="B12" s="21" t="e">
        <f>VLOOKUP(A12,'qx''ler'!$1:$1048576,MATCH(komutasyon_tablo!$A$3,'qx''ler'!$1:$1,0),FALSE)</f>
        <v>#N/A</v>
      </c>
      <c r="C12" s="21" t="e">
        <f t="shared" si="0"/>
        <v>#N/A</v>
      </c>
      <c r="D12" s="22" t="e">
        <f t="shared" si="4"/>
        <v>#N/A</v>
      </c>
      <c r="E12" s="22" t="e">
        <f t="shared" si="1"/>
        <v>#N/A</v>
      </c>
      <c r="F12" s="23" t="e">
        <f t="shared" si="5"/>
        <v>#N/A</v>
      </c>
      <c r="G12" s="23" t="e">
        <f>SUM(F12:F$127)</f>
        <v>#N/A</v>
      </c>
      <c r="H12" s="23" t="e">
        <f>SUM(G12:$G$127)</f>
        <v>#N/A</v>
      </c>
      <c r="I12" s="23" t="e">
        <f t="shared" si="6"/>
        <v>#N/A</v>
      </c>
      <c r="J12" s="23" t="e">
        <f>SUM(I12:I$127)</f>
        <v>#N/A</v>
      </c>
      <c r="K12" s="23" t="e">
        <f>SUM(J12:J$127)</f>
        <v>#N/A</v>
      </c>
      <c r="L12" s="24" t="e">
        <f t="shared" si="2"/>
        <v>#N/A</v>
      </c>
    </row>
    <row r="13" spans="1:12" x14ac:dyDescent="0.25">
      <c r="A13" s="20">
        <f t="shared" si="3"/>
        <v>7</v>
      </c>
      <c r="B13" s="21" t="e">
        <f>VLOOKUP(A13,'qx''ler'!$1:$1048576,MATCH(komutasyon_tablo!$A$3,'qx''ler'!$1:$1,0),FALSE)</f>
        <v>#N/A</v>
      </c>
      <c r="C13" s="21" t="e">
        <f t="shared" si="0"/>
        <v>#N/A</v>
      </c>
      <c r="D13" s="22" t="e">
        <f t="shared" si="4"/>
        <v>#N/A</v>
      </c>
      <c r="E13" s="22" t="e">
        <f t="shared" si="1"/>
        <v>#N/A</v>
      </c>
      <c r="F13" s="23" t="e">
        <f t="shared" si="5"/>
        <v>#N/A</v>
      </c>
      <c r="G13" s="23" t="e">
        <f>SUM(F13:F$127)</f>
        <v>#N/A</v>
      </c>
      <c r="H13" s="23" t="e">
        <f>SUM(G13:$G$127)</f>
        <v>#N/A</v>
      </c>
      <c r="I13" s="23" t="e">
        <f t="shared" si="6"/>
        <v>#N/A</v>
      </c>
      <c r="J13" s="23" t="e">
        <f>SUM(I13:I$127)</f>
        <v>#N/A</v>
      </c>
      <c r="K13" s="23" t="e">
        <f>SUM(J13:J$127)</f>
        <v>#N/A</v>
      </c>
      <c r="L13" s="24" t="e">
        <f t="shared" si="2"/>
        <v>#N/A</v>
      </c>
    </row>
    <row r="14" spans="1:12" x14ac:dyDescent="0.25">
      <c r="A14" s="20">
        <f t="shared" si="3"/>
        <v>8</v>
      </c>
      <c r="B14" s="21" t="e">
        <f>VLOOKUP(A14,'qx''ler'!$1:$1048576,MATCH(komutasyon_tablo!$A$3,'qx''ler'!$1:$1,0),FALSE)</f>
        <v>#N/A</v>
      </c>
      <c r="C14" s="21" t="e">
        <f t="shared" si="0"/>
        <v>#N/A</v>
      </c>
      <c r="D14" s="22" t="e">
        <f t="shared" si="4"/>
        <v>#N/A</v>
      </c>
      <c r="E14" s="22" t="e">
        <f t="shared" si="1"/>
        <v>#N/A</v>
      </c>
      <c r="F14" s="23" t="e">
        <f t="shared" si="5"/>
        <v>#N/A</v>
      </c>
      <c r="G14" s="23" t="e">
        <f>SUM(F14:F$127)</f>
        <v>#N/A</v>
      </c>
      <c r="H14" s="23" t="e">
        <f>SUM(G14:$G$127)</f>
        <v>#N/A</v>
      </c>
      <c r="I14" s="23" t="e">
        <f t="shared" si="6"/>
        <v>#N/A</v>
      </c>
      <c r="J14" s="23" t="e">
        <f>SUM(I14:I$127)</f>
        <v>#N/A</v>
      </c>
      <c r="K14" s="23" t="e">
        <f>SUM(J14:J$127)</f>
        <v>#N/A</v>
      </c>
      <c r="L14" s="24" t="e">
        <f t="shared" si="2"/>
        <v>#N/A</v>
      </c>
    </row>
    <row r="15" spans="1:12" x14ac:dyDescent="0.25">
      <c r="A15" s="20">
        <f t="shared" si="3"/>
        <v>9</v>
      </c>
      <c r="B15" s="21" t="e">
        <f>VLOOKUP(A15,'qx''ler'!$1:$1048576,MATCH(komutasyon_tablo!$A$3,'qx''ler'!$1:$1,0),FALSE)</f>
        <v>#N/A</v>
      </c>
      <c r="C15" s="21" t="e">
        <f t="shared" si="0"/>
        <v>#N/A</v>
      </c>
      <c r="D15" s="22" t="e">
        <f t="shared" si="4"/>
        <v>#N/A</v>
      </c>
      <c r="E15" s="22" t="e">
        <f t="shared" si="1"/>
        <v>#N/A</v>
      </c>
      <c r="F15" s="23" t="e">
        <f t="shared" si="5"/>
        <v>#N/A</v>
      </c>
      <c r="G15" s="23" t="e">
        <f>SUM(F15:F$127)</f>
        <v>#N/A</v>
      </c>
      <c r="H15" s="23" t="e">
        <f>SUM(G15:$G$127)</f>
        <v>#N/A</v>
      </c>
      <c r="I15" s="23" t="e">
        <f t="shared" si="6"/>
        <v>#N/A</v>
      </c>
      <c r="J15" s="23" t="e">
        <f>SUM(I15:I$127)</f>
        <v>#N/A</v>
      </c>
      <c r="K15" s="23" t="e">
        <f>SUM(J15:J$127)</f>
        <v>#N/A</v>
      </c>
      <c r="L15" s="24" t="e">
        <f t="shared" si="2"/>
        <v>#N/A</v>
      </c>
    </row>
    <row r="16" spans="1:12" x14ac:dyDescent="0.25">
      <c r="A16" s="20">
        <f t="shared" si="3"/>
        <v>10</v>
      </c>
      <c r="B16" s="21" t="e">
        <f>VLOOKUP(A16,'qx''ler'!$1:$1048576,MATCH(komutasyon_tablo!$A$3,'qx''ler'!$1:$1,0),FALSE)</f>
        <v>#N/A</v>
      </c>
      <c r="C16" s="21" t="e">
        <f t="shared" si="0"/>
        <v>#N/A</v>
      </c>
      <c r="D16" s="22" t="e">
        <f t="shared" si="4"/>
        <v>#N/A</v>
      </c>
      <c r="E16" s="22" t="e">
        <f t="shared" si="1"/>
        <v>#N/A</v>
      </c>
      <c r="F16" s="23" t="e">
        <f t="shared" si="5"/>
        <v>#N/A</v>
      </c>
      <c r="G16" s="23" t="e">
        <f>SUM(F16:F$127)</f>
        <v>#N/A</v>
      </c>
      <c r="H16" s="23" t="e">
        <f>SUM(G16:$G$127)</f>
        <v>#N/A</v>
      </c>
      <c r="I16" s="23" t="e">
        <f t="shared" si="6"/>
        <v>#N/A</v>
      </c>
      <c r="J16" s="23" t="e">
        <f>SUM(I16:I$127)</f>
        <v>#N/A</v>
      </c>
      <c r="K16" s="23" t="e">
        <f>SUM(J16:J$127)</f>
        <v>#N/A</v>
      </c>
      <c r="L16" s="24" t="e">
        <f t="shared" si="2"/>
        <v>#N/A</v>
      </c>
    </row>
    <row r="17" spans="1:12" x14ac:dyDescent="0.25">
      <c r="A17" s="20">
        <f t="shared" si="3"/>
        <v>11</v>
      </c>
      <c r="B17" s="21" t="e">
        <f>VLOOKUP(A17,'qx''ler'!$1:$1048576,MATCH(komutasyon_tablo!$A$3,'qx''ler'!$1:$1,0),FALSE)</f>
        <v>#N/A</v>
      </c>
      <c r="C17" s="21" t="e">
        <f t="shared" si="0"/>
        <v>#N/A</v>
      </c>
      <c r="D17" s="22" t="e">
        <f t="shared" si="4"/>
        <v>#N/A</v>
      </c>
      <c r="E17" s="22" t="e">
        <f t="shared" si="1"/>
        <v>#N/A</v>
      </c>
      <c r="F17" s="23" t="e">
        <f t="shared" si="5"/>
        <v>#N/A</v>
      </c>
      <c r="G17" s="23" t="e">
        <f>SUM(F17:F$127)</f>
        <v>#N/A</v>
      </c>
      <c r="H17" s="23" t="e">
        <f>SUM(G17:$G$127)</f>
        <v>#N/A</v>
      </c>
      <c r="I17" s="23" t="e">
        <f t="shared" si="6"/>
        <v>#N/A</v>
      </c>
      <c r="J17" s="23" t="e">
        <f>SUM(I17:I$127)</f>
        <v>#N/A</v>
      </c>
      <c r="K17" s="23" t="e">
        <f>SUM(J17:J$127)</f>
        <v>#N/A</v>
      </c>
      <c r="L17" s="24" t="e">
        <f t="shared" si="2"/>
        <v>#N/A</v>
      </c>
    </row>
    <row r="18" spans="1:12" x14ac:dyDescent="0.25">
      <c r="A18" s="20">
        <f t="shared" si="3"/>
        <v>12</v>
      </c>
      <c r="B18" s="21" t="e">
        <f>VLOOKUP(A18,'qx''ler'!$1:$1048576,MATCH(komutasyon_tablo!$A$3,'qx''ler'!$1:$1,0),FALSE)</f>
        <v>#N/A</v>
      </c>
      <c r="C18" s="21" t="e">
        <f t="shared" si="0"/>
        <v>#N/A</v>
      </c>
      <c r="D18" s="22" t="e">
        <f t="shared" si="4"/>
        <v>#N/A</v>
      </c>
      <c r="E18" s="22" t="e">
        <f t="shared" si="1"/>
        <v>#N/A</v>
      </c>
      <c r="F18" s="23" t="e">
        <f t="shared" si="5"/>
        <v>#N/A</v>
      </c>
      <c r="G18" s="23" t="e">
        <f>SUM(F18:F$127)</f>
        <v>#N/A</v>
      </c>
      <c r="H18" s="23" t="e">
        <f>SUM(G18:$G$127)</f>
        <v>#N/A</v>
      </c>
      <c r="I18" s="23" t="e">
        <f t="shared" si="6"/>
        <v>#N/A</v>
      </c>
      <c r="J18" s="23" t="e">
        <f>SUM(I18:I$127)</f>
        <v>#N/A</v>
      </c>
      <c r="K18" s="23" t="e">
        <f>SUM(J18:J$127)</f>
        <v>#N/A</v>
      </c>
      <c r="L18" s="24" t="e">
        <f t="shared" si="2"/>
        <v>#N/A</v>
      </c>
    </row>
    <row r="19" spans="1:12" x14ac:dyDescent="0.25">
      <c r="A19" s="20">
        <f t="shared" si="3"/>
        <v>13</v>
      </c>
      <c r="B19" s="21" t="e">
        <f>VLOOKUP(A19,'qx''ler'!$1:$1048576,MATCH(komutasyon_tablo!$A$3,'qx''ler'!$1:$1,0),FALSE)</f>
        <v>#N/A</v>
      </c>
      <c r="C19" s="21" t="e">
        <f t="shared" si="0"/>
        <v>#N/A</v>
      </c>
      <c r="D19" s="22" t="e">
        <f t="shared" si="4"/>
        <v>#N/A</v>
      </c>
      <c r="E19" s="22" t="e">
        <f t="shared" si="1"/>
        <v>#N/A</v>
      </c>
      <c r="F19" s="23" t="e">
        <f t="shared" si="5"/>
        <v>#N/A</v>
      </c>
      <c r="G19" s="23" t="e">
        <f>SUM(F19:F$127)</f>
        <v>#N/A</v>
      </c>
      <c r="H19" s="23" t="e">
        <f>SUM(G19:$G$127)</f>
        <v>#N/A</v>
      </c>
      <c r="I19" s="23" t="e">
        <f t="shared" si="6"/>
        <v>#N/A</v>
      </c>
      <c r="J19" s="23" t="e">
        <f>SUM(I19:I$127)</f>
        <v>#N/A</v>
      </c>
      <c r="K19" s="23" t="e">
        <f>SUM(J19:J$127)</f>
        <v>#N/A</v>
      </c>
      <c r="L19" s="24" t="e">
        <f t="shared" si="2"/>
        <v>#N/A</v>
      </c>
    </row>
    <row r="20" spans="1:12" x14ac:dyDescent="0.25">
      <c r="A20" s="20">
        <f t="shared" si="3"/>
        <v>14</v>
      </c>
      <c r="B20" s="21" t="e">
        <f>VLOOKUP(A20,'qx''ler'!$1:$1048576,MATCH(komutasyon_tablo!$A$3,'qx''ler'!$1:$1,0),FALSE)</f>
        <v>#N/A</v>
      </c>
      <c r="C20" s="21" t="e">
        <f t="shared" si="0"/>
        <v>#N/A</v>
      </c>
      <c r="D20" s="22" t="e">
        <f t="shared" si="4"/>
        <v>#N/A</v>
      </c>
      <c r="E20" s="22" t="e">
        <f t="shared" si="1"/>
        <v>#N/A</v>
      </c>
      <c r="F20" s="23" t="e">
        <f t="shared" si="5"/>
        <v>#N/A</v>
      </c>
      <c r="G20" s="23" t="e">
        <f>SUM(F20:F$127)</f>
        <v>#N/A</v>
      </c>
      <c r="H20" s="23" t="e">
        <f>SUM(G20:$G$127)</f>
        <v>#N/A</v>
      </c>
      <c r="I20" s="23" t="e">
        <f t="shared" si="6"/>
        <v>#N/A</v>
      </c>
      <c r="J20" s="23" t="e">
        <f>SUM(I20:I$127)</f>
        <v>#N/A</v>
      </c>
      <c r="K20" s="23" t="e">
        <f>SUM(J20:J$127)</f>
        <v>#N/A</v>
      </c>
      <c r="L20" s="24" t="e">
        <f t="shared" si="2"/>
        <v>#N/A</v>
      </c>
    </row>
    <row r="21" spans="1:12" x14ac:dyDescent="0.25">
      <c r="A21" s="20">
        <f t="shared" si="3"/>
        <v>15</v>
      </c>
      <c r="B21" s="21" t="e">
        <f>VLOOKUP(A21,'qx''ler'!$1:$1048576,MATCH(komutasyon_tablo!$A$3,'qx''ler'!$1:$1,0),FALSE)</f>
        <v>#N/A</v>
      </c>
      <c r="C21" s="21" t="e">
        <f t="shared" si="0"/>
        <v>#N/A</v>
      </c>
      <c r="D21" s="22" t="e">
        <f t="shared" si="4"/>
        <v>#N/A</v>
      </c>
      <c r="E21" s="22" t="e">
        <f t="shared" si="1"/>
        <v>#N/A</v>
      </c>
      <c r="F21" s="23" t="e">
        <f t="shared" si="5"/>
        <v>#N/A</v>
      </c>
      <c r="G21" s="23" t="e">
        <f>SUM(F21:F$127)</f>
        <v>#N/A</v>
      </c>
      <c r="H21" s="23" t="e">
        <f>SUM(G21:$G$127)</f>
        <v>#N/A</v>
      </c>
      <c r="I21" s="23" t="e">
        <f t="shared" si="6"/>
        <v>#N/A</v>
      </c>
      <c r="J21" s="23" t="e">
        <f>SUM(I21:I$127)</f>
        <v>#N/A</v>
      </c>
      <c r="K21" s="23" t="e">
        <f>SUM(J21:J$127)</f>
        <v>#N/A</v>
      </c>
      <c r="L21" s="24" t="e">
        <f t="shared" si="2"/>
        <v>#N/A</v>
      </c>
    </row>
    <row r="22" spans="1:12" x14ac:dyDescent="0.25">
      <c r="A22" s="20">
        <f t="shared" si="3"/>
        <v>16</v>
      </c>
      <c r="B22" s="21" t="e">
        <f>VLOOKUP(A22,'qx''ler'!$1:$1048576,MATCH(komutasyon_tablo!$A$3,'qx''ler'!$1:$1,0),FALSE)</f>
        <v>#N/A</v>
      </c>
      <c r="C22" s="21" t="e">
        <f t="shared" si="0"/>
        <v>#N/A</v>
      </c>
      <c r="D22" s="22" t="e">
        <f t="shared" si="4"/>
        <v>#N/A</v>
      </c>
      <c r="E22" s="22" t="e">
        <f t="shared" si="1"/>
        <v>#N/A</v>
      </c>
      <c r="F22" s="23" t="e">
        <f t="shared" si="5"/>
        <v>#N/A</v>
      </c>
      <c r="G22" s="23" t="e">
        <f>SUM(F22:F$127)</f>
        <v>#N/A</v>
      </c>
      <c r="H22" s="23" t="e">
        <f>SUM(G22:$G$127)</f>
        <v>#N/A</v>
      </c>
      <c r="I22" s="23" t="e">
        <f t="shared" si="6"/>
        <v>#N/A</v>
      </c>
      <c r="J22" s="23" t="e">
        <f>SUM(I22:I$127)</f>
        <v>#N/A</v>
      </c>
      <c r="K22" s="23" t="e">
        <f>SUM(J22:J$127)</f>
        <v>#N/A</v>
      </c>
      <c r="L22" s="24" t="e">
        <f t="shared" si="2"/>
        <v>#N/A</v>
      </c>
    </row>
    <row r="23" spans="1:12" x14ac:dyDescent="0.25">
      <c r="A23" s="20">
        <f t="shared" si="3"/>
        <v>17</v>
      </c>
      <c r="B23" s="21" t="e">
        <f>VLOOKUP(A23,'qx''ler'!$1:$1048576,MATCH(komutasyon_tablo!$A$3,'qx''ler'!$1:$1,0),FALSE)</f>
        <v>#N/A</v>
      </c>
      <c r="C23" s="21" t="e">
        <f t="shared" si="0"/>
        <v>#N/A</v>
      </c>
      <c r="D23" s="22" t="e">
        <f t="shared" si="4"/>
        <v>#N/A</v>
      </c>
      <c r="E23" s="22" t="e">
        <f t="shared" si="1"/>
        <v>#N/A</v>
      </c>
      <c r="F23" s="23" t="e">
        <f t="shared" si="5"/>
        <v>#N/A</v>
      </c>
      <c r="G23" s="23" t="e">
        <f>SUM(F23:F$127)</f>
        <v>#N/A</v>
      </c>
      <c r="H23" s="23" t="e">
        <f>SUM(G23:$G$127)</f>
        <v>#N/A</v>
      </c>
      <c r="I23" s="23" t="e">
        <f t="shared" si="6"/>
        <v>#N/A</v>
      </c>
      <c r="J23" s="23" t="e">
        <f>SUM(I23:I$127)</f>
        <v>#N/A</v>
      </c>
      <c r="K23" s="23" t="e">
        <f>SUM(J23:J$127)</f>
        <v>#N/A</v>
      </c>
      <c r="L23" s="24" t="e">
        <f t="shared" si="2"/>
        <v>#N/A</v>
      </c>
    </row>
    <row r="24" spans="1:12" x14ac:dyDescent="0.25">
      <c r="A24" s="20">
        <f t="shared" si="3"/>
        <v>18</v>
      </c>
      <c r="B24" s="21" t="e">
        <f>VLOOKUP(A24,'qx''ler'!$1:$1048576,MATCH(komutasyon_tablo!$A$3,'qx''ler'!$1:$1,0),FALSE)</f>
        <v>#N/A</v>
      </c>
      <c r="C24" s="21" t="e">
        <f t="shared" si="0"/>
        <v>#N/A</v>
      </c>
      <c r="D24" s="22" t="e">
        <f t="shared" si="4"/>
        <v>#N/A</v>
      </c>
      <c r="E24" s="22" t="e">
        <f t="shared" si="1"/>
        <v>#N/A</v>
      </c>
      <c r="F24" s="23" t="e">
        <f t="shared" si="5"/>
        <v>#N/A</v>
      </c>
      <c r="G24" s="23" t="e">
        <f>SUM(F24:F$127)</f>
        <v>#N/A</v>
      </c>
      <c r="H24" s="23" t="e">
        <f>SUM(G24:$G$127)</f>
        <v>#N/A</v>
      </c>
      <c r="I24" s="23" t="e">
        <f t="shared" si="6"/>
        <v>#N/A</v>
      </c>
      <c r="J24" s="23" t="e">
        <f>SUM(I24:I$127)</f>
        <v>#N/A</v>
      </c>
      <c r="K24" s="23" t="e">
        <f>SUM(J24:J$127)</f>
        <v>#N/A</v>
      </c>
      <c r="L24" s="24" t="e">
        <f t="shared" si="2"/>
        <v>#N/A</v>
      </c>
    </row>
    <row r="25" spans="1:12" x14ac:dyDescent="0.25">
      <c r="A25" s="20">
        <f t="shared" si="3"/>
        <v>19</v>
      </c>
      <c r="B25" s="21" t="e">
        <f>VLOOKUP(A25,'qx''ler'!$1:$1048576,MATCH(komutasyon_tablo!$A$3,'qx''ler'!$1:$1,0),FALSE)</f>
        <v>#N/A</v>
      </c>
      <c r="C25" s="21" t="e">
        <f t="shared" si="0"/>
        <v>#N/A</v>
      </c>
      <c r="D25" s="22" t="e">
        <f t="shared" si="4"/>
        <v>#N/A</v>
      </c>
      <c r="E25" s="22" t="e">
        <f t="shared" si="1"/>
        <v>#N/A</v>
      </c>
      <c r="F25" s="23" t="e">
        <f t="shared" si="5"/>
        <v>#N/A</v>
      </c>
      <c r="G25" s="23" t="e">
        <f>SUM(F25:F$127)</f>
        <v>#N/A</v>
      </c>
      <c r="H25" s="23" t="e">
        <f>SUM(G25:$G$127)</f>
        <v>#N/A</v>
      </c>
      <c r="I25" s="23" t="e">
        <f t="shared" si="6"/>
        <v>#N/A</v>
      </c>
      <c r="J25" s="23" t="e">
        <f>SUM(I25:I$127)</f>
        <v>#N/A</v>
      </c>
      <c r="K25" s="23" t="e">
        <f>SUM(J25:J$127)</f>
        <v>#N/A</v>
      </c>
      <c r="L25" s="24" t="e">
        <f t="shared" si="2"/>
        <v>#N/A</v>
      </c>
    </row>
    <row r="26" spans="1:12" x14ac:dyDescent="0.25">
      <c r="A26" s="20">
        <f t="shared" si="3"/>
        <v>20</v>
      </c>
      <c r="B26" s="21" t="e">
        <f>VLOOKUP(A26,'qx''ler'!$1:$1048576,MATCH(komutasyon_tablo!$A$3,'qx''ler'!$1:$1,0),FALSE)</f>
        <v>#N/A</v>
      </c>
      <c r="C26" s="21" t="e">
        <f t="shared" si="0"/>
        <v>#N/A</v>
      </c>
      <c r="D26" s="22" t="e">
        <f t="shared" si="4"/>
        <v>#N/A</v>
      </c>
      <c r="E26" s="22" t="e">
        <f t="shared" si="1"/>
        <v>#N/A</v>
      </c>
      <c r="F26" s="23" t="e">
        <f t="shared" si="5"/>
        <v>#N/A</v>
      </c>
      <c r="G26" s="23" t="e">
        <f>SUM(F26:F$127)</f>
        <v>#N/A</v>
      </c>
      <c r="H26" s="23" t="e">
        <f>SUM(G26:$G$127)</f>
        <v>#N/A</v>
      </c>
      <c r="I26" s="23" t="e">
        <f t="shared" si="6"/>
        <v>#N/A</v>
      </c>
      <c r="J26" s="23" t="e">
        <f>SUM(I26:I$127)</f>
        <v>#N/A</v>
      </c>
      <c r="K26" s="23" t="e">
        <f>SUM(J26:J$127)</f>
        <v>#N/A</v>
      </c>
      <c r="L26" s="24" t="e">
        <f t="shared" si="2"/>
        <v>#N/A</v>
      </c>
    </row>
    <row r="27" spans="1:12" x14ac:dyDescent="0.25">
      <c r="A27" s="20">
        <f t="shared" si="3"/>
        <v>21</v>
      </c>
      <c r="B27" s="21" t="e">
        <f>VLOOKUP(A27,'qx''ler'!$1:$1048576,MATCH(komutasyon_tablo!$A$3,'qx''ler'!$1:$1,0),FALSE)</f>
        <v>#N/A</v>
      </c>
      <c r="C27" s="21" t="e">
        <f t="shared" si="0"/>
        <v>#N/A</v>
      </c>
      <c r="D27" s="22" t="e">
        <f t="shared" si="4"/>
        <v>#N/A</v>
      </c>
      <c r="E27" s="22" t="e">
        <f t="shared" si="1"/>
        <v>#N/A</v>
      </c>
      <c r="F27" s="23" t="e">
        <f t="shared" si="5"/>
        <v>#N/A</v>
      </c>
      <c r="G27" s="23" t="e">
        <f>SUM(F27:F$127)</f>
        <v>#N/A</v>
      </c>
      <c r="H27" s="23" t="e">
        <f>SUM(G27:$G$127)</f>
        <v>#N/A</v>
      </c>
      <c r="I27" s="23" t="e">
        <f t="shared" si="6"/>
        <v>#N/A</v>
      </c>
      <c r="J27" s="23" t="e">
        <f>SUM(I27:I$127)</f>
        <v>#N/A</v>
      </c>
      <c r="K27" s="23" t="e">
        <f>SUM(J27:J$127)</f>
        <v>#N/A</v>
      </c>
      <c r="L27" s="24" t="e">
        <f t="shared" si="2"/>
        <v>#N/A</v>
      </c>
    </row>
    <row r="28" spans="1:12" x14ac:dyDescent="0.25">
      <c r="A28" s="20">
        <f t="shared" si="3"/>
        <v>22</v>
      </c>
      <c r="B28" s="21" t="e">
        <f>VLOOKUP(A28,'qx''ler'!$1:$1048576,MATCH(komutasyon_tablo!$A$3,'qx''ler'!$1:$1,0),FALSE)</f>
        <v>#N/A</v>
      </c>
      <c r="C28" s="21" t="e">
        <f t="shared" si="0"/>
        <v>#N/A</v>
      </c>
      <c r="D28" s="22" t="e">
        <f t="shared" si="4"/>
        <v>#N/A</v>
      </c>
      <c r="E28" s="22" t="e">
        <f t="shared" si="1"/>
        <v>#N/A</v>
      </c>
      <c r="F28" s="23" t="e">
        <f t="shared" si="5"/>
        <v>#N/A</v>
      </c>
      <c r="G28" s="23" t="e">
        <f>SUM(F28:F$127)</f>
        <v>#N/A</v>
      </c>
      <c r="H28" s="23" t="e">
        <f>SUM(G28:$G$127)</f>
        <v>#N/A</v>
      </c>
      <c r="I28" s="23" t="e">
        <f t="shared" si="6"/>
        <v>#N/A</v>
      </c>
      <c r="J28" s="23" t="e">
        <f>SUM(I28:I$127)</f>
        <v>#N/A</v>
      </c>
      <c r="K28" s="23" t="e">
        <f>SUM(J28:J$127)</f>
        <v>#N/A</v>
      </c>
      <c r="L28" s="24" t="e">
        <f t="shared" si="2"/>
        <v>#N/A</v>
      </c>
    </row>
    <row r="29" spans="1:12" x14ac:dyDescent="0.25">
      <c r="A29" s="20">
        <f t="shared" si="3"/>
        <v>23</v>
      </c>
      <c r="B29" s="21" t="e">
        <f>VLOOKUP(A29,'qx''ler'!$1:$1048576,MATCH(komutasyon_tablo!$A$3,'qx''ler'!$1:$1,0),FALSE)</f>
        <v>#N/A</v>
      </c>
      <c r="C29" s="21" t="e">
        <f t="shared" si="0"/>
        <v>#N/A</v>
      </c>
      <c r="D29" s="22" t="e">
        <f t="shared" si="4"/>
        <v>#N/A</v>
      </c>
      <c r="E29" s="22" t="e">
        <f t="shared" si="1"/>
        <v>#N/A</v>
      </c>
      <c r="F29" s="23" t="e">
        <f t="shared" si="5"/>
        <v>#N/A</v>
      </c>
      <c r="G29" s="23" t="e">
        <f>SUM(F29:F$127)</f>
        <v>#N/A</v>
      </c>
      <c r="H29" s="23" t="e">
        <f>SUM(G29:$G$127)</f>
        <v>#N/A</v>
      </c>
      <c r="I29" s="23" t="e">
        <f t="shared" si="6"/>
        <v>#N/A</v>
      </c>
      <c r="J29" s="23" t="e">
        <f>SUM(I29:I$127)</f>
        <v>#N/A</v>
      </c>
      <c r="K29" s="23" t="e">
        <f>SUM(J29:J$127)</f>
        <v>#N/A</v>
      </c>
      <c r="L29" s="24" t="e">
        <f t="shared" si="2"/>
        <v>#N/A</v>
      </c>
    </row>
    <row r="30" spans="1:12" x14ac:dyDescent="0.25">
      <c r="A30" s="20">
        <f t="shared" si="3"/>
        <v>24</v>
      </c>
      <c r="B30" s="21" t="e">
        <f>VLOOKUP(A30,'qx''ler'!$1:$1048576,MATCH(komutasyon_tablo!$A$3,'qx''ler'!$1:$1,0),FALSE)</f>
        <v>#N/A</v>
      </c>
      <c r="C30" s="21" t="e">
        <f t="shared" si="0"/>
        <v>#N/A</v>
      </c>
      <c r="D30" s="22" t="e">
        <f t="shared" si="4"/>
        <v>#N/A</v>
      </c>
      <c r="E30" s="22" t="e">
        <f t="shared" si="1"/>
        <v>#N/A</v>
      </c>
      <c r="F30" s="23" t="e">
        <f t="shared" si="5"/>
        <v>#N/A</v>
      </c>
      <c r="G30" s="23" t="e">
        <f>SUM(F30:F$127)</f>
        <v>#N/A</v>
      </c>
      <c r="H30" s="23" t="e">
        <f>SUM(G30:$G$127)</f>
        <v>#N/A</v>
      </c>
      <c r="I30" s="23" t="e">
        <f t="shared" si="6"/>
        <v>#N/A</v>
      </c>
      <c r="J30" s="23" t="e">
        <f>SUM(I30:I$127)</f>
        <v>#N/A</v>
      </c>
      <c r="K30" s="23" t="e">
        <f>SUM(J30:J$127)</f>
        <v>#N/A</v>
      </c>
      <c r="L30" s="24" t="e">
        <f t="shared" si="2"/>
        <v>#N/A</v>
      </c>
    </row>
    <row r="31" spans="1:12" x14ac:dyDescent="0.25">
      <c r="A31" s="20">
        <f t="shared" si="3"/>
        <v>25</v>
      </c>
      <c r="B31" s="21" t="e">
        <f>VLOOKUP(A31,'qx''ler'!$1:$1048576,MATCH(komutasyon_tablo!$A$3,'qx''ler'!$1:$1,0),FALSE)</f>
        <v>#N/A</v>
      </c>
      <c r="C31" s="21" t="e">
        <f t="shared" si="0"/>
        <v>#N/A</v>
      </c>
      <c r="D31" s="22" t="e">
        <f t="shared" si="4"/>
        <v>#N/A</v>
      </c>
      <c r="E31" s="22" t="e">
        <f t="shared" si="1"/>
        <v>#N/A</v>
      </c>
      <c r="F31" s="23" t="e">
        <f t="shared" si="5"/>
        <v>#N/A</v>
      </c>
      <c r="G31" s="23" t="e">
        <f>SUM(F31:F$127)</f>
        <v>#N/A</v>
      </c>
      <c r="H31" s="23" t="e">
        <f>SUM(G31:$G$127)</f>
        <v>#N/A</v>
      </c>
      <c r="I31" s="23" t="e">
        <f t="shared" si="6"/>
        <v>#N/A</v>
      </c>
      <c r="J31" s="23" t="e">
        <f>SUM(I31:I$127)</f>
        <v>#N/A</v>
      </c>
      <c r="K31" s="23" t="e">
        <f>SUM(J31:J$127)</f>
        <v>#N/A</v>
      </c>
      <c r="L31" s="24" t="e">
        <f t="shared" si="2"/>
        <v>#N/A</v>
      </c>
    </row>
    <row r="32" spans="1:12" x14ac:dyDescent="0.25">
      <c r="A32" s="20">
        <f t="shared" si="3"/>
        <v>26</v>
      </c>
      <c r="B32" s="21" t="e">
        <f>VLOOKUP(A32,'qx''ler'!$1:$1048576,MATCH(komutasyon_tablo!$A$3,'qx''ler'!$1:$1,0),FALSE)</f>
        <v>#N/A</v>
      </c>
      <c r="C32" s="21" t="e">
        <f t="shared" si="0"/>
        <v>#N/A</v>
      </c>
      <c r="D32" s="22" t="e">
        <f t="shared" si="4"/>
        <v>#N/A</v>
      </c>
      <c r="E32" s="22" t="e">
        <f t="shared" si="1"/>
        <v>#N/A</v>
      </c>
      <c r="F32" s="23" t="e">
        <f t="shared" si="5"/>
        <v>#N/A</v>
      </c>
      <c r="G32" s="23" t="e">
        <f>SUM(F32:F$127)</f>
        <v>#N/A</v>
      </c>
      <c r="H32" s="23" t="e">
        <f>SUM(G32:$G$127)</f>
        <v>#N/A</v>
      </c>
      <c r="I32" s="23" t="e">
        <f t="shared" si="6"/>
        <v>#N/A</v>
      </c>
      <c r="J32" s="23" t="e">
        <f>SUM(I32:I$127)</f>
        <v>#N/A</v>
      </c>
      <c r="K32" s="23" t="e">
        <f>SUM(J32:J$127)</f>
        <v>#N/A</v>
      </c>
      <c r="L32" s="24" t="e">
        <f t="shared" si="2"/>
        <v>#N/A</v>
      </c>
    </row>
    <row r="33" spans="1:12" x14ac:dyDescent="0.25">
      <c r="A33" s="20">
        <f t="shared" si="3"/>
        <v>27</v>
      </c>
      <c r="B33" s="21" t="e">
        <f>VLOOKUP(A33,'qx''ler'!$1:$1048576,MATCH(komutasyon_tablo!$A$3,'qx''ler'!$1:$1,0),FALSE)</f>
        <v>#N/A</v>
      </c>
      <c r="C33" s="21" t="e">
        <f t="shared" si="0"/>
        <v>#N/A</v>
      </c>
      <c r="D33" s="22" t="e">
        <f t="shared" si="4"/>
        <v>#N/A</v>
      </c>
      <c r="E33" s="22" t="e">
        <f t="shared" si="1"/>
        <v>#N/A</v>
      </c>
      <c r="F33" s="23" t="e">
        <f t="shared" si="5"/>
        <v>#N/A</v>
      </c>
      <c r="G33" s="23" t="e">
        <f>SUM(F33:F$127)</f>
        <v>#N/A</v>
      </c>
      <c r="H33" s="23" t="e">
        <f>SUM(G33:$G$127)</f>
        <v>#N/A</v>
      </c>
      <c r="I33" s="23" t="e">
        <f t="shared" si="6"/>
        <v>#N/A</v>
      </c>
      <c r="J33" s="23" t="e">
        <f>SUM(I33:I$127)</f>
        <v>#N/A</v>
      </c>
      <c r="K33" s="23" t="e">
        <f>SUM(J33:J$127)</f>
        <v>#N/A</v>
      </c>
      <c r="L33" s="24" t="e">
        <f t="shared" si="2"/>
        <v>#N/A</v>
      </c>
    </row>
    <row r="34" spans="1:12" x14ac:dyDescent="0.25">
      <c r="A34" s="20">
        <f t="shared" si="3"/>
        <v>28</v>
      </c>
      <c r="B34" s="21" t="e">
        <f>VLOOKUP(A34,'qx''ler'!$1:$1048576,MATCH(komutasyon_tablo!$A$3,'qx''ler'!$1:$1,0),FALSE)</f>
        <v>#N/A</v>
      </c>
      <c r="C34" s="21" t="e">
        <f t="shared" si="0"/>
        <v>#N/A</v>
      </c>
      <c r="D34" s="22" t="e">
        <f t="shared" si="4"/>
        <v>#N/A</v>
      </c>
      <c r="E34" s="22" t="e">
        <f t="shared" si="1"/>
        <v>#N/A</v>
      </c>
      <c r="F34" s="23" t="e">
        <f t="shared" si="5"/>
        <v>#N/A</v>
      </c>
      <c r="G34" s="23" t="e">
        <f>SUM(F34:F$127)</f>
        <v>#N/A</v>
      </c>
      <c r="H34" s="23" t="e">
        <f>SUM(G34:$G$127)</f>
        <v>#N/A</v>
      </c>
      <c r="I34" s="23" t="e">
        <f t="shared" si="6"/>
        <v>#N/A</v>
      </c>
      <c r="J34" s="23" t="e">
        <f>SUM(I34:I$127)</f>
        <v>#N/A</v>
      </c>
      <c r="K34" s="23" t="e">
        <f>SUM(J34:J$127)</f>
        <v>#N/A</v>
      </c>
      <c r="L34" s="24" t="e">
        <f t="shared" si="2"/>
        <v>#N/A</v>
      </c>
    </row>
    <row r="35" spans="1:12" x14ac:dyDescent="0.25">
      <c r="A35" s="20">
        <f t="shared" si="3"/>
        <v>29</v>
      </c>
      <c r="B35" s="21" t="e">
        <f>VLOOKUP(A35,'qx''ler'!$1:$1048576,MATCH(komutasyon_tablo!$A$3,'qx''ler'!$1:$1,0),FALSE)</f>
        <v>#N/A</v>
      </c>
      <c r="C35" s="21" t="e">
        <f t="shared" si="0"/>
        <v>#N/A</v>
      </c>
      <c r="D35" s="22" t="e">
        <f t="shared" si="4"/>
        <v>#N/A</v>
      </c>
      <c r="E35" s="22" t="e">
        <f t="shared" si="1"/>
        <v>#N/A</v>
      </c>
      <c r="F35" s="23" t="e">
        <f t="shared" si="5"/>
        <v>#N/A</v>
      </c>
      <c r="G35" s="23" t="e">
        <f>SUM(F35:F$127)</f>
        <v>#N/A</v>
      </c>
      <c r="H35" s="23" t="e">
        <f>SUM(G35:$G$127)</f>
        <v>#N/A</v>
      </c>
      <c r="I35" s="23" t="e">
        <f t="shared" si="6"/>
        <v>#N/A</v>
      </c>
      <c r="J35" s="23" t="e">
        <f>SUM(I35:I$127)</f>
        <v>#N/A</v>
      </c>
      <c r="K35" s="23" t="e">
        <f>SUM(J35:J$127)</f>
        <v>#N/A</v>
      </c>
      <c r="L35" s="24" t="e">
        <f t="shared" si="2"/>
        <v>#N/A</v>
      </c>
    </row>
    <row r="36" spans="1:12" x14ac:dyDescent="0.25">
      <c r="A36" s="20">
        <f t="shared" si="3"/>
        <v>30</v>
      </c>
      <c r="B36" s="21" t="e">
        <f>VLOOKUP(A36,'qx''ler'!$1:$1048576,MATCH(komutasyon_tablo!$A$3,'qx''ler'!$1:$1,0),FALSE)</f>
        <v>#N/A</v>
      </c>
      <c r="C36" s="21" t="e">
        <f t="shared" si="0"/>
        <v>#N/A</v>
      </c>
      <c r="D36" s="22" t="e">
        <f t="shared" si="4"/>
        <v>#N/A</v>
      </c>
      <c r="E36" s="22" t="e">
        <f t="shared" si="1"/>
        <v>#N/A</v>
      </c>
      <c r="F36" s="23" t="e">
        <f t="shared" si="5"/>
        <v>#N/A</v>
      </c>
      <c r="G36" s="23" t="e">
        <f>SUM(F36:F$127)</f>
        <v>#N/A</v>
      </c>
      <c r="H36" s="23" t="e">
        <f>SUM(G36:$G$127)</f>
        <v>#N/A</v>
      </c>
      <c r="I36" s="23" t="e">
        <f t="shared" si="6"/>
        <v>#N/A</v>
      </c>
      <c r="J36" s="23" t="e">
        <f>SUM(I36:I$127)</f>
        <v>#N/A</v>
      </c>
      <c r="K36" s="23" t="e">
        <f>SUM(J36:J$127)</f>
        <v>#N/A</v>
      </c>
      <c r="L36" s="24" t="e">
        <f t="shared" si="2"/>
        <v>#N/A</v>
      </c>
    </row>
    <row r="37" spans="1:12" x14ac:dyDescent="0.25">
      <c r="A37" s="20">
        <f t="shared" si="3"/>
        <v>31</v>
      </c>
      <c r="B37" s="21" t="e">
        <f>VLOOKUP(A37,'qx''ler'!$1:$1048576,MATCH(komutasyon_tablo!$A$3,'qx''ler'!$1:$1,0),FALSE)</f>
        <v>#N/A</v>
      </c>
      <c r="C37" s="21" t="e">
        <f t="shared" si="0"/>
        <v>#N/A</v>
      </c>
      <c r="D37" s="22" t="e">
        <f t="shared" si="4"/>
        <v>#N/A</v>
      </c>
      <c r="E37" s="22" t="e">
        <f t="shared" si="1"/>
        <v>#N/A</v>
      </c>
      <c r="F37" s="23" t="e">
        <f t="shared" si="5"/>
        <v>#N/A</v>
      </c>
      <c r="G37" s="23" t="e">
        <f>SUM(F37:F$127)</f>
        <v>#N/A</v>
      </c>
      <c r="H37" s="23" t="e">
        <f>SUM(G37:$G$127)</f>
        <v>#N/A</v>
      </c>
      <c r="I37" s="23" t="e">
        <f t="shared" si="6"/>
        <v>#N/A</v>
      </c>
      <c r="J37" s="23" t="e">
        <f>SUM(I37:I$127)</f>
        <v>#N/A</v>
      </c>
      <c r="K37" s="23" t="e">
        <f>SUM(J37:J$127)</f>
        <v>#N/A</v>
      </c>
      <c r="L37" s="24" t="e">
        <f t="shared" si="2"/>
        <v>#N/A</v>
      </c>
    </row>
    <row r="38" spans="1:12" x14ac:dyDescent="0.25">
      <c r="A38" s="20">
        <f t="shared" si="3"/>
        <v>32</v>
      </c>
      <c r="B38" s="21" t="e">
        <f>VLOOKUP(A38,'qx''ler'!$1:$1048576,MATCH(komutasyon_tablo!$A$3,'qx''ler'!$1:$1,0),FALSE)</f>
        <v>#N/A</v>
      </c>
      <c r="C38" s="21" t="e">
        <f t="shared" si="0"/>
        <v>#N/A</v>
      </c>
      <c r="D38" s="22" t="e">
        <f t="shared" si="4"/>
        <v>#N/A</v>
      </c>
      <c r="E38" s="22" t="e">
        <f t="shared" si="1"/>
        <v>#N/A</v>
      </c>
      <c r="F38" s="23" t="e">
        <f t="shared" si="5"/>
        <v>#N/A</v>
      </c>
      <c r="G38" s="23" t="e">
        <f>SUM(F38:F$127)</f>
        <v>#N/A</v>
      </c>
      <c r="H38" s="23" t="e">
        <f>SUM(G38:$G$127)</f>
        <v>#N/A</v>
      </c>
      <c r="I38" s="23" t="e">
        <f t="shared" si="6"/>
        <v>#N/A</v>
      </c>
      <c r="J38" s="23" t="e">
        <f>SUM(I38:I$127)</f>
        <v>#N/A</v>
      </c>
      <c r="K38" s="23" t="e">
        <f>SUM(J38:J$127)</f>
        <v>#N/A</v>
      </c>
      <c r="L38" s="24" t="e">
        <f t="shared" si="2"/>
        <v>#N/A</v>
      </c>
    </row>
    <row r="39" spans="1:12" x14ac:dyDescent="0.25">
      <c r="A39" s="20">
        <f t="shared" si="3"/>
        <v>33</v>
      </c>
      <c r="B39" s="21" t="e">
        <f>VLOOKUP(A39,'qx''ler'!$1:$1048576,MATCH(komutasyon_tablo!$A$3,'qx''ler'!$1:$1,0),FALSE)</f>
        <v>#N/A</v>
      </c>
      <c r="C39" s="21" t="e">
        <f t="shared" si="0"/>
        <v>#N/A</v>
      </c>
      <c r="D39" s="22" t="e">
        <f t="shared" si="4"/>
        <v>#N/A</v>
      </c>
      <c r="E39" s="22" t="e">
        <f t="shared" si="1"/>
        <v>#N/A</v>
      </c>
      <c r="F39" s="23" t="e">
        <f t="shared" si="5"/>
        <v>#N/A</v>
      </c>
      <c r="G39" s="23" t="e">
        <f>SUM(F39:F$127)</f>
        <v>#N/A</v>
      </c>
      <c r="H39" s="23" t="e">
        <f>SUM(G39:$G$127)</f>
        <v>#N/A</v>
      </c>
      <c r="I39" s="23" t="e">
        <f t="shared" si="6"/>
        <v>#N/A</v>
      </c>
      <c r="J39" s="23" t="e">
        <f>SUM(I39:I$127)</f>
        <v>#N/A</v>
      </c>
      <c r="K39" s="23" t="e">
        <f>SUM(J39:J$127)</f>
        <v>#N/A</v>
      </c>
      <c r="L39" s="24" t="e">
        <f t="shared" si="2"/>
        <v>#N/A</v>
      </c>
    </row>
    <row r="40" spans="1:12" x14ac:dyDescent="0.25">
      <c r="A40" s="20">
        <f t="shared" si="3"/>
        <v>34</v>
      </c>
      <c r="B40" s="21" t="e">
        <f>VLOOKUP(A40,'qx''ler'!$1:$1048576,MATCH(komutasyon_tablo!$A$3,'qx''ler'!$1:$1,0),FALSE)</f>
        <v>#N/A</v>
      </c>
      <c r="C40" s="21" t="e">
        <f t="shared" si="0"/>
        <v>#N/A</v>
      </c>
      <c r="D40" s="22" t="e">
        <f t="shared" si="4"/>
        <v>#N/A</v>
      </c>
      <c r="E40" s="22" t="e">
        <f t="shared" si="1"/>
        <v>#N/A</v>
      </c>
      <c r="F40" s="23" t="e">
        <f t="shared" si="5"/>
        <v>#N/A</v>
      </c>
      <c r="G40" s="23" t="e">
        <f>SUM(F40:F$127)</f>
        <v>#N/A</v>
      </c>
      <c r="H40" s="23" t="e">
        <f>SUM(G40:$G$127)</f>
        <v>#N/A</v>
      </c>
      <c r="I40" s="23" t="e">
        <f t="shared" si="6"/>
        <v>#N/A</v>
      </c>
      <c r="J40" s="23" t="e">
        <f>SUM(I40:I$127)</f>
        <v>#N/A</v>
      </c>
      <c r="K40" s="23" t="e">
        <f>SUM(J40:J$127)</f>
        <v>#N/A</v>
      </c>
      <c r="L40" s="24" t="e">
        <f t="shared" si="2"/>
        <v>#N/A</v>
      </c>
    </row>
    <row r="41" spans="1:12" x14ac:dyDescent="0.25">
      <c r="A41" s="20">
        <f t="shared" si="3"/>
        <v>35</v>
      </c>
      <c r="B41" s="21" t="e">
        <f>VLOOKUP(A41,'qx''ler'!$1:$1048576,MATCH(komutasyon_tablo!$A$3,'qx''ler'!$1:$1,0),FALSE)</f>
        <v>#N/A</v>
      </c>
      <c r="C41" s="21" t="e">
        <f t="shared" si="0"/>
        <v>#N/A</v>
      </c>
      <c r="D41" s="22" t="e">
        <f t="shared" si="4"/>
        <v>#N/A</v>
      </c>
      <c r="E41" s="22" t="e">
        <f t="shared" si="1"/>
        <v>#N/A</v>
      </c>
      <c r="F41" s="23" t="e">
        <f t="shared" si="5"/>
        <v>#N/A</v>
      </c>
      <c r="G41" s="23" t="e">
        <f>SUM(F41:F$127)</f>
        <v>#N/A</v>
      </c>
      <c r="H41" s="23" t="e">
        <f>SUM(G41:$G$127)</f>
        <v>#N/A</v>
      </c>
      <c r="I41" s="23" t="e">
        <f t="shared" si="6"/>
        <v>#N/A</v>
      </c>
      <c r="J41" s="23" t="e">
        <f>SUM(I41:I$127)</f>
        <v>#N/A</v>
      </c>
      <c r="K41" s="23" t="e">
        <f>SUM(J41:J$127)</f>
        <v>#N/A</v>
      </c>
      <c r="L41" s="24" t="e">
        <f t="shared" si="2"/>
        <v>#N/A</v>
      </c>
    </row>
    <row r="42" spans="1:12" x14ac:dyDescent="0.25">
      <c r="A42" s="20">
        <f t="shared" si="3"/>
        <v>36</v>
      </c>
      <c r="B42" s="21" t="e">
        <f>VLOOKUP(A42,'qx''ler'!$1:$1048576,MATCH(komutasyon_tablo!$A$3,'qx''ler'!$1:$1,0),FALSE)</f>
        <v>#N/A</v>
      </c>
      <c r="C42" s="21" t="e">
        <f t="shared" si="0"/>
        <v>#N/A</v>
      </c>
      <c r="D42" s="22" t="e">
        <f t="shared" si="4"/>
        <v>#N/A</v>
      </c>
      <c r="E42" s="22" t="e">
        <f t="shared" si="1"/>
        <v>#N/A</v>
      </c>
      <c r="F42" s="23" t="e">
        <f t="shared" si="5"/>
        <v>#N/A</v>
      </c>
      <c r="G42" s="23" t="e">
        <f>SUM(F42:F$127)</f>
        <v>#N/A</v>
      </c>
      <c r="H42" s="23" t="e">
        <f>SUM(G42:$G$127)</f>
        <v>#N/A</v>
      </c>
      <c r="I42" s="23" t="e">
        <f t="shared" si="6"/>
        <v>#N/A</v>
      </c>
      <c r="J42" s="23" t="e">
        <f>SUM(I42:I$127)</f>
        <v>#N/A</v>
      </c>
      <c r="K42" s="23" t="e">
        <f>SUM(J42:J$127)</f>
        <v>#N/A</v>
      </c>
      <c r="L42" s="24" t="e">
        <f t="shared" si="2"/>
        <v>#N/A</v>
      </c>
    </row>
    <row r="43" spans="1:12" x14ac:dyDescent="0.25">
      <c r="A43" s="20">
        <f t="shared" si="3"/>
        <v>37</v>
      </c>
      <c r="B43" s="21" t="e">
        <f>VLOOKUP(A43,'qx''ler'!$1:$1048576,MATCH(komutasyon_tablo!$A$3,'qx''ler'!$1:$1,0),FALSE)</f>
        <v>#N/A</v>
      </c>
      <c r="C43" s="21" t="e">
        <f t="shared" si="0"/>
        <v>#N/A</v>
      </c>
      <c r="D43" s="22" t="e">
        <f t="shared" si="4"/>
        <v>#N/A</v>
      </c>
      <c r="E43" s="22" t="e">
        <f t="shared" si="1"/>
        <v>#N/A</v>
      </c>
      <c r="F43" s="23" t="e">
        <f t="shared" si="5"/>
        <v>#N/A</v>
      </c>
      <c r="G43" s="23" t="e">
        <f>SUM(F43:F$127)</f>
        <v>#N/A</v>
      </c>
      <c r="H43" s="23" t="e">
        <f>SUM(G43:$G$127)</f>
        <v>#N/A</v>
      </c>
      <c r="I43" s="23" t="e">
        <f t="shared" si="6"/>
        <v>#N/A</v>
      </c>
      <c r="J43" s="23" t="e">
        <f>SUM(I43:I$127)</f>
        <v>#N/A</v>
      </c>
      <c r="K43" s="23" t="e">
        <f>SUM(J43:J$127)</f>
        <v>#N/A</v>
      </c>
      <c r="L43" s="24" t="e">
        <f t="shared" si="2"/>
        <v>#N/A</v>
      </c>
    </row>
    <row r="44" spans="1:12" x14ac:dyDescent="0.25">
      <c r="A44" s="20">
        <f t="shared" si="3"/>
        <v>38</v>
      </c>
      <c r="B44" s="21" t="e">
        <f>VLOOKUP(A44,'qx''ler'!$1:$1048576,MATCH(komutasyon_tablo!$A$3,'qx''ler'!$1:$1,0),FALSE)</f>
        <v>#N/A</v>
      </c>
      <c r="C44" s="21" t="e">
        <f t="shared" si="0"/>
        <v>#N/A</v>
      </c>
      <c r="D44" s="22" t="e">
        <f t="shared" si="4"/>
        <v>#N/A</v>
      </c>
      <c r="E44" s="22" t="e">
        <f t="shared" si="1"/>
        <v>#N/A</v>
      </c>
      <c r="F44" s="23" t="e">
        <f t="shared" si="5"/>
        <v>#N/A</v>
      </c>
      <c r="G44" s="23" t="e">
        <f>SUM(F44:F$127)</f>
        <v>#N/A</v>
      </c>
      <c r="H44" s="23" t="e">
        <f>SUM(G44:$G$127)</f>
        <v>#N/A</v>
      </c>
      <c r="I44" s="23" t="e">
        <f t="shared" si="6"/>
        <v>#N/A</v>
      </c>
      <c r="J44" s="23" t="e">
        <f>SUM(I44:I$127)</f>
        <v>#N/A</v>
      </c>
      <c r="K44" s="23" t="e">
        <f>SUM(J44:J$127)</f>
        <v>#N/A</v>
      </c>
      <c r="L44" s="24" t="e">
        <f t="shared" si="2"/>
        <v>#N/A</v>
      </c>
    </row>
    <row r="45" spans="1:12" x14ac:dyDescent="0.25">
      <c r="A45" s="20">
        <f t="shared" si="3"/>
        <v>39</v>
      </c>
      <c r="B45" s="21" t="e">
        <f>VLOOKUP(A45,'qx''ler'!$1:$1048576,MATCH(komutasyon_tablo!$A$3,'qx''ler'!$1:$1,0),FALSE)</f>
        <v>#N/A</v>
      </c>
      <c r="C45" s="21" t="e">
        <f t="shared" si="0"/>
        <v>#N/A</v>
      </c>
      <c r="D45" s="22" t="e">
        <f t="shared" si="4"/>
        <v>#N/A</v>
      </c>
      <c r="E45" s="22" t="e">
        <f t="shared" si="1"/>
        <v>#N/A</v>
      </c>
      <c r="F45" s="23" t="e">
        <f t="shared" si="5"/>
        <v>#N/A</v>
      </c>
      <c r="G45" s="23" t="e">
        <f>SUM(F45:F$127)</f>
        <v>#N/A</v>
      </c>
      <c r="H45" s="23" t="e">
        <f>SUM(G45:$G$127)</f>
        <v>#N/A</v>
      </c>
      <c r="I45" s="23" t="e">
        <f t="shared" si="6"/>
        <v>#N/A</v>
      </c>
      <c r="J45" s="23" t="e">
        <f>SUM(I45:I$127)</f>
        <v>#N/A</v>
      </c>
      <c r="K45" s="23" t="e">
        <f>SUM(J45:J$127)</f>
        <v>#N/A</v>
      </c>
      <c r="L45" s="24" t="e">
        <f t="shared" si="2"/>
        <v>#N/A</v>
      </c>
    </row>
    <row r="46" spans="1:12" x14ac:dyDescent="0.25">
      <c r="A46" s="20">
        <f t="shared" si="3"/>
        <v>40</v>
      </c>
      <c r="B46" s="21" t="e">
        <f>VLOOKUP(A46,'qx''ler'!$1:$1048576,MATCH(komutasyon_tablo!$A$3,'qx''ler'!$1:$1,0),FALSE)</f>
        <v>#N/A</v>
      </c>
      <c r="C46" s="21" t="e">
        <f t="shared" si="0"/>
        <v>#N/A</v>
      </c>
      <c r="D46" s="22" t="e">
        <f t="shared" si="4"/>
        <v>#N/A</v>
      </c>
      <c r="E46" s="22" t="e">
        <f t="shared" si="1"/>
        <v>#N/A</v>
      </c>
      <c r="F46" s="23" t="e">
        <f t="shared" si="5"/>
        <v>#N/A</v>
      </c>
      <c r="G46" s="23" t="e">
        <f>SUM(F46:F$127)</f>
        <v>#N/A</v>
      </c>
      <c r="H46" s="23" t="e">
        <f>SUM(G46:$G$127)</f>
        <v>#N/A</v>
      </c>
      <c r="I46" s="23" t="e">
        <f t="shared" si="6"/>
        <v>#N/A</v>
      </c>
      <c r="J46" s="23" t="e">
        <f>SUM(I46:I$127)</f>
        <v>#N/A</v>
      </c>
      <c r="K46" s="23" t="e">
        <f>SUM(J46:J$127)</f>
        <v>#N/A</v>
      </c>
      <c r="L46" s="24" t="e">
        <f t="shared" si="2"/>
        <v>#N/A</v>
      </c>
    </row>
    <row r="47" spans="1:12" x14ac:dyDescent="0.25">
      <c r="A47" s="20">
        <f t="shared" si="3"/>
        <v>41</v>
      </c>
      <c r="B47" s="21" t="e">
        <f>VLOOKUP(A47,'qx''ler'!$1:$1048576,MATCH(komutasyon_tablo!$A$3,'qx''ler'!$1:$1,0),FALSE)</f>
        <v>#N/A</v>
      </c>
      <c r="C47" s="21" t="e">
        <f t="shared" si="0"/>
        <v>#N/A</v>
      </c>
      <c r="D47" s="22" t="e">
        <f t="shared" si="4"/>
        <v>#N/A</v>
      </c>
      <c r="E47" s="22" t="e">
        <f t="shared" si="1"/>
        <v>#N/A</v>
      </c>
      <c r="F47" s="23" t="e">
        <f t="shared" si="5"/>
        <v>#N/A</v>
      </c>
      <c r="G47" s="23" t="e">
        <f>SUM(F47:F$127)</f>
        <v>#N/A</v>
      </c>
      <c r="H47" s="23" t="e">
        <f>SUM(G47:$G$127)</f>
        <v>#N/A</v>
      </c>
      <c r="I47" s="23" t="e">
        <f t="shared" si="6"/>
        <v>#N/A</v>
      </c>
      <c r="J47" s="23" t="e">
        <f>SUM(I47:I$127)</f>
        <v>#N/A</v>
      </c>
      <c r="K47" s="23" t="e">
        <f>SUM(J47:J$127)</f>
        <v>#N/A</v>
      </c>
      <c r="L47" s="24" t="e">
        <f t="shared" si="2"/>
        <v>#N/A</v>
      </c>
    </row>
    <row r="48" spans="1:12" x14ac:dyDescent="0.25">
      <c r="A48" s="20">
        <f t="shared" si="3"/>
        <v>42</v>
      </c>
      <c r="B48" s="21" t="e">
        <f>VLOOKUP(A48,'qx''ler'!$1:$1048576,MATCH(komutasyon_tablo!$A$3,'qx''ler'!$1:$1,0),FALSE)</f>
        <v>#N/A</v>
      </c>
      <c r="C48" s="21" t="e">
        <f t="shared" si="0"/>
        <v>#N/A</v>
      </c>
      <c r="D48" s="22" t="e">
        <f t="shared" si="4"/>
        <v>#N/A</v>
      </c>
      <c r="E48" s="22" t="e">
        <f t="shared" si="1"/>
        <v>#N/A</v>
      </c>
      <c r="F48" s="23" t="e">
        <f t="shared" si="5"/>
        <v>#N/A</v>
      </c>
      <c r="G48" s="23" t="e">
        <f>SUM(F48:F$127)</f>
        <v>#N/A</v>
      </c>
      <c r="H48" s="23" t="e">
        <f>SUM(G48:$G$127)</f>
        <v>#N/A</v>
      </c>
      <c r="I48" s="23" t="e">
        <f t="shared" si="6"/>
        <v>#N/A</v>
      </c>
      <c r="J48" s="23" t="e">
        <f>SUM(I48:I$127)</f>
        <v>#N/A</v>
      </c>
      <c r="K48" s="23" t="e">
        <f>SUM(J48:J$127)</f>
        <v>#N/A</v>
      </c>
      <c r="L48" s="24" t="e">
        <f t="shared" si="2"/>
        <v>#N/A</v>
      </c>
    </row>
    <row r="49" spans="1:15" x14ac:dyDescent="0.25">
      <c r="A49" s="20">
        <f t="shared" si="3"/>
        <v>43</v>
      </c>
      <c r="B49" s="21" t="e">
        <f>VLOOKUP(A49,'qx''ler'!$1:$1048576,MATCH(komutasyon_tablo!$A$3,'qx''ler'!$1:$1,0),FALSE)</f>
        <v>#N/A</v>
      </c>
      <c r="C49" s="21" t="e">
        <f t="shared" si="0"/>
        <v>#N/A</v>
      </c>
      <c r="D49" s="22" t="e">
        <f t="shared" si="4"/>
        <v>#N/A</v>
      </c>
      <c r="E49" s="22" t="e">
        <f t="shared" si="1"/>
        <v>#N/A</v>
      </c>
      <c r="F49" s="23" t="e">
        <f t="shared" si="5"/>
        <v>#N/A</v>
      </c>
      <c r="G49" s="23" t="e">
        <f>SUM(F49:F$127)</f>
        <v>#N/A</v>
      </c>
      <c r="H49" s="23" t="e">
        <f>SUM(G49:$G$127)</f>
        <v>#N/A</v>
      </c>
      <c r="I49" s="23" t="e">
        <f t="shared" si="6"/>
        <v>#N/A</v>
      </c>
      <c r="J49" s="23" t="e">
        <f>SUM(I49:I$127)</f>
        <v>#N/A</v>
      </c>
      <c r="K49" s="23" t="e">
        <f>SUM(J49:J$127)</f>
        <v>#N/A</v>
      </c>
      <c r="L49" s="24" t="e">
        <f t="shared" si="2"/>
        <v>#N/A</v>
      </c>
    </row>
    <row r="50" spans="1:15" x14ac:dyDescent="0.25">
      <c r="A50" s="20">
        <f t="shared" si="3"/>
        <v>44</v>
      </c>
      <c r="B50" s="21" t="e">
        <f>VLOOKUP(A50,'qx''ler'!$1:$1048576,MATCH(komutasyon_tablo!$A$3,'qx''ler'!$1:$1,0),FALSE)</f>
        <v>#N/A</v>
      </c>
      <c r="C50" s="21" t="e">
        <f t="shared" si="0"/>
        <v>#N/A</v>
      </c>
      <c r="D50" s="22" t="e">
        <f t="shared" si="4"/>
        <v>#N/A</v>
      </c>
      <c r="E50" s="22" t="e">
        <f t="shared" si="1"/>
        <v>#N/A</v>
      </c>
      <c r="F50" s="23" t="e">
        <f t="shared" si="5"/>
        <v>#N/A</v>
      </c>
      <c r="G50" s="23" t="e">
        <f>SUM(F50:F$127)</f>
        <v>#N/A</v>
      </c>
      <c r="H50" s="23" t="e">
        <f>SUM(G50:$G$127)</f>
        <v>#N/A</v>
      </c>
      <c r="I50" s="23" t="e">
        <f t="shared" si="6"/>
        <v>#N/A</v>
      </c>
      <c r="J50" s="23" t="e">
        <f>SUM(I50:I$127)</f>
        <v>#N/A</v>
      </c>
      <c r="K50" s="23" t="e">
        <f>SUM(J50:J$127)</f>
        <v>#N/A</v>
      </c>
      <c r="L50" s="24" t="e">
        <f t="shared" si="2"/>
        <v>#N/A</v>
      </c>
    </row>
    <row r="51" spans="1:15" x14ac:dyDescent="0.25">
      <c r="A51" s="20">
        <f t="shared" si="3"/>
        <v>45</v>
      </c>
      <c r="B51" s="21" t="e">
        <f>VLOOKUP(A51,'qx''ler'!$1:$1048576,MATCH(komutasyon_tablo!$A$3,'qx''ler'!$1:$1,0),FALSE)</f>
        <v>#N/A</v>
      </c>
      <c r="C51" s="21" t="e">
        <f t="shared" si="0"/>
        <v>#N/A</v>
      </c>
      <c r="D51" s="22" t="e">
        <f t="shared" si="4"/>
        <v>#N/A</v>
      </c>
      <c r="E51" s="22" t="e">
        <f t="shared" si="1"/>
        <v>#N/A</v>
      </c>
      <c r="F51" s="23" t="e">
        <f t="shared" si="5"/>
        <v>#N/A</v>
      </c>
      <c r="G51" s="23" t="e">
        <f>SUM(F51:F$127)</f>
        <v>#N/A</v>
      </c>
      <c r="H51" s="23" t="e">
        <f>SUM(G51:$G$127)</f>
        <v>#N/A</v>
      </c>
      <c r="I51" s="23" t="e">
        <f t="shared" si="6"/>
        <v>#N/A</v>
      </c>
      <c r="J51" s="23" t="e">
        <f>SUM(I51:I$127)</f>
        <v>#N/A</v>
      </c>
      <c r="K51" s="23" t="e">
        <f>SUM(J51:J$127)</f>
        <v>#N/A</v>
      </c>
      <c r="L51" s="24" t="e">
        <f t="shared" si="2"/>
        <v>#N/A</v>
      </c>
    </row>
    <row r="52" spans="1:15" x14ac:dyDescent="0.25">
      <c r="A52" s="20">
        <f t="shared" si="3"/>
        <v>46</v>
      </c>
      <c r="B52" s="21" t="e">
        <f>VLOOKUP(A52,'qx''ler'!$1:$1048576,MATCH(komutasyon_tablo!$A$3,'qx''ler'!$1:$1,0),FALSE)</f>
        <v>#N/A</v>
      </c>
      <c r="C52" s="21" t="e">
        <f t="shared" si="0"/>
        <v>#N/A</v>
      </c>
      <c r="D52" s="22" t="e">
        <f t="shared" si="4"/>
        <v>#N/A</v>
      </c>
      <c r="E52" s="22" t="e">
        <f t="shared" si="1"/>
        <v>#N/A</v>
      </c>
      <c r="F52" s="23" t="e">
        <f t="shared" si="5"/>
        <v>#N/A</v>
      </c>
      <c r="G52" s="23" t="e">
        <f>SUM(F52:F$127)</f>
        <v>#N/A</v>
      </c>
      <c r="H52" s="23" t="e">
        <f>SUM(G52:$G$127)</f>
        <v>#N/A</v>
      </c>
      <c r="I52" s="23" t="e">
        <f t="shared" si="6"/>
        <v>#N/A</v>
      </c>
      <c r="J52" s="23" t="e">
        <f>SUM(I52:I$127)</f>
        <v>#N/A</v>
      </c>
      <c r="K52" s="23" t="e">
        <f>SUM(J52:J$127)</f>
        <v>#N/A</v>
      </c>
      <c r="L52" s="24" t="e">
        <f t="shared" si="2"/>
        <v>#N/A</v>
      </c>
    </row>
    <row r="53" spans="1:15" x14ac:dyDescent="0.25">
      <c r="A53" s="20">
        <f t="shared" si="3"/>
        <v>47</v>
      </c>
      <c r="B53" s="21" t="e">
        <f>VLOOKUP(A53,'qx''ler'!$1:$1048576,MATCH(komutasyon_tablo!$A$3,'qx''ler'!$1:$1,0),FALSE)</f>
        <v>#N/A</v>
      </c>
      <c r="C53" s="21" t="e">
        <f t="shared" si="0"/>
        <v>#N/A</v>
      </c>
      <c r="D53" s="22" t="e">
        <f t="shared" si="4"/>
        <v>#N/A</v>
      </c>
      <c r="E53" s="22" t="e">
        <f t="shared" si="1"/>
        <v>#N/A</v>
      </c>
      <c r="F53" s="23" t="e">
        <f t="shared" si="5"/>
        <v>#N/A</v>
      </c>
      <c r="G53" s="23" t="e">
        <f>SUM(F53:F$127)</f>
        <v>#N/A</v>
      </c>
      <c r="H53" s="23" t="e">
        <f>SUM(G53:$G$127)</f>
        <v>#N/A</v>
      </c>
      <c r="I53" s="23" t="e">
        <f t="shared" si="6"/>
        <v>#N/A</v>
      </c>
      <c r="J53" s="23" t="e">
        <f>SUM(I53:I$127)</f>
        <v>#N/A</v>
      </c>
      <c r="K53" s="23" t="e">
        <f>SUM(J53:J$127)</f>
        <v>#N/A</v>
      </c>
      <c r="L53" s="24" t="e">
        <f t="shared" si="2"/>
        <v>#N/A</v>
      </c>
    </row>
    <row r="54" spans="1:15" x14ac:dyDescent="0.25">
      <c r="A54" s="20">
        <f t="shared" si="3"/>
        <v>48</v>
      </c>
      <c r="B54" s="21" t="e">
        <f>VLOOKUP(A54,'qx''ler'!$1:$1048576,MATCH(komutasyon_tablo!$A$3,'qx''ler'!$1:$1,0),FALSE)</f>
        <v>#N/A</v>
      </c>
      <c r="C54" s="21" t="e">
        <f t="shared" si="0"/>
        <v>#N/A</v>
      </c>
      <c r="D54" s="22" t="e">
        <f t="shared" si="4"/>
        <v>#N/A</v>
      </c>
      <c r="E54" s="22" t="e">
        <f t="shared" si="1"/>
        <v>#N/A</v>
      </c>
      <c r="F54" s="23" t="e">
        <f t="shared" si="5"/>
        <v>#N/A</v>
      </c>
      <c r="G54" s="23" t="e">
        <f>SUM(F54:F$127)</f>
        <v>#N/A</v>
      </c>
      <c r="H54" s="23" t="e">
        <f>SUM(G54:$G$127)</f>
        <v>#N/A</v>
      </c>
      <c r="I54" s="23" t="e">
        <f t="shared" si="6"/>
        <v>#N/A</v>
      </c>
      <c r="J54" s="23" t="e">
        <f>SUM(I54:I$127)</f>
        <v>#N/A</v>
      </c>
      <c r="K54" s="23" t="e">
        <f>SUM(J54:J$127)</f>
        <v>#N/A</v>
      </c>
      <c r="L54" s="24" t="e">
        <f t="shared" si="2"/>
        <v>#N/A</v>
      </c>
    </row>
    <row r="55" spans="1:15" x14ac:dyDescent="0.25">
      <c r="A55" s="20">
        <f t="shared" si="3"/>
        <v>49</v>
      </c>
      <c r="B55" s="21" t="e">
        <f>VLOOKUP(A55,'qx''ler'!$1:$1048576,MATCH(komutasyon_tablo!$A$3,'qx''ler'!$1:$1,0),FALSE)</f>
        <v>#N/A</v>
      </c>
      <c r="C55" s="21" t="e">
        <f t="shared" si="0"/>
        <v>#N/A</v>
      </c>
      <c r="D55" s="22" t="e">
        <f t="shared" si="4"/>
        <v>#N/A</v>
      </c>
      <c r="E55" s="22" t="e">
        <f t="shared" si="1"/>
        <v>#N/A</v>
      </c>
      <c r="F55" s="23" t="e">
        <f t="shared" si="5"/>
        <v>#N/A</v>
      </c>
      <c r="G55" s="23" t="e">
        <f>SUM(F55:F$127)</f>
        <v>#N/A</v>
      </c>
      <c r="H55" s="23" t="e">
        <f>SUM(G55:$G$127)</f>
        <v>#N/A</v>
      </c>
      <c r="I55" s="23" t="e">
        <f t="shared" si="6"/>
        <v>#N/A</v>
      </c>
      <c r="J55" s="23" t="e">
        <f>SUM(I55:I$127)</f>
        <v>#N/A</v>
      </c>
      <c r="K55" s="23" t="e">
        <f>SUM(J55:J$127)</f>
        <v>#N/A</v>
      </c>
      <c r="L55" s="24" t="e">
        <f t="shared" si="2"/>
        <v>#N/A</v>
      </c>
    </row>
    <row r="56" spans="1:15" x14ac:dyDescent="0.25">
      <c r="A56" s="20">
        <f t="shared" si="3"/>
        <v>50</v>
      </c>
      <c r="B56" s="21" t="e">
        <f>VLOOKUP(A56,'qx''ler'!$1:$1048576,MATCH(komutasyon_tablo!$A$3,'qx''ler'!$1:$1,0),FALSE)</f>
        <v>#N/A</v>
      </c>
      <c r="C56" s="21" t="e">
        <f t="shared" si="0"/>
        <v>#N/A</v>
      </c>
      <c r="D56" s="22" t="e">
        <f t="shared" si="4"/>
        <v>#N/A</v>
      </c>
      <c r="E56" s="22" t="e">
        <f t="shared" si="1"/>
        <v>#N/A</v>
      </c>
      <c r="F56" s="23" t="e">
        <f t="shared" si="5"/>
        <v>#N/A</v>
      </c>
      <c r="G56" s="23" t="e">
        <f>SUM(F56:F$127)</f>
        <v>#N/A</v>
      </c>
      <c r="H56" s="23" t="e">
        <f>SUM(G56:$G$127)</f>
        <v>#N/A</v>
      </c>
      <c r="I56" s="23" t="e">
        <f t="shared" si="6"/>
        <v>#N/A</v>
      </c>
      <c r="J56" s="23" t="e">
        <f>SUM(I56:I$127)</f>
        <v>#N/A</v>
      </c>
      <c r="K56" s="23" t="e">
        <f>SUM(J56:J$127)</f>
        <v>#N/A</v>
      </c>
      <c r="L56" s="24" t="e">
        <f t="shared" si="2"/>
        <v>#N/A</v>
      </c>
    </row>
    <row r="57" spans="1:15" x14ac:dyDescent="0.25">
      <c r="A57" s="20">
        <f t="shared" si="3"/>
        <v>51</v>
      </c>
      <c r="B57" s="21" t="e">
        <f>VLOOKUP(A57,'qx''ler'!$1:$1048576,MATCH(komutasyon_tablo!$A$3,'qx''ler'!$1:$1,0),FALSE)</f>
        <v>#N/A</v>
      </c>
      <c r="C57" s="21" t="e">
        <f t="shared" si="0"/>
        <v>#N/A</v>
      </c>
      <c r="D57" s="22" t="e">
        <f t="shared" si="4"/>
        <v>#N/A</v>
      </c>
      <c r="E57" s="22" t="e">
        <f t="shared" si="1"/>
        <v>#N/A</v>
      </c>
      <c r="F57" s="23" t="e">
        <f t="shared" si="5"/>
        <v>#N/A</v>
      </c>
      <c r="G57" s="23" t="e">
        <f>SUM(F57:F$127)</f>
        <v>#N/A</v>
      </c>
      <c r="H57" s="23" t="e">
        <f>SUM(G57:$G$127)</f>
        <v>#N/A</v>
      </c>
      <c r="I57" s="23" t="e">
        <f t="shared" si="6"/>
        <v>#N/A</v>
      </c>
      <c r="J57" s="23" t="e">
        <f>SUM(I57:I$127)</f>
        <v>#N/A</v>
      </c>
      <c r="K57" s="23" t="e">
        <f>SUM(J57:J$127)</f>
        <v>#N/A</v>
      </c>
      <c r="L57" s="24" t="e">
        <f t="shared" si="2"/>
        <v>#N/A</v>
      </c>
    </row>
    <row r="58" spans="1:15" x14ac:dyDescent="0.25">
      <c r="A58" s="20">
        <f t="shared" si="3"/>
        <v>52</v>
      </c>
      <c r="B58" s="21" t="e">
        <f>VLOOKUP(A58,'qx''ler'!$1:$1048576,MATCH(komutasyon_tablo!$A$3,'qx''ler'!$1:$1,0),FALSE)</f>
        <v>#N/A</v>
      </c>
      <c r="C58" s="21" t="e">
        <f t="shared" si="0"/>
        <v>#N/A</v>
      </c>
      <c r="D58" s="22" t="e">
        <f t="shared" si="4"/>
        <v>#N/A</v>
      </c>
      <c r="E58" s="22" t="e">
        <f t="shared" si="1"/>
        <v>#N/A</v>
      </c>
      <c r="F58" s="23" t="e">
        <f t="shared" si="5"/>
        <v>#N/A</v>
      </c>
      <c r="G58" s="23" t="e">
        <f>SUM(F58:F$127)</f>
        <v>#N/A</v>
      </c>
      <c r="H58" s="23" t="e">
        <f>SUM(G58:$G$127)</f>
        <v>#N/A</v>
      </c>
      <c r="I58" s="23" t="e">
        <f t="shared" si="6"/>
        <v>#N/A</v>
      </c>
      <c r="J58" s="23" t="e">
        <f>SUM(I58:I$127)</f>
        <v>#N/A</v>
      </c>
      <c r="K58" s="23" t="e">
        <f>SUM(J58:J$127)</f>
        <v>#N/A</v>
      </c>
      <c r="L58" s="24" t="e">
        <f t="shared" si="2"/>
        <v>#N/A</v>
      </c>
    </row>
    <row r="59" spans="1:15" x14ac:dyDescent="0.25">
      <c r="A59" s="20">
        <f t="shared" si="3"/>
        <v>53</v>
      </c>
      <c r="B59" s="21" t="e">
        <f>VLOOKUP(A59,'qx''ler'!$1:$1048576,MATCH(komutasyon_tablo!$A$3,'qx''ler'!$1:$1,0),FALSE)</f>
        <v>#N/A</v>
      </c>
      <c r="C59" s="21" t="e">
        <f t="shared" si="0"/>
        <v>#N/A</v>
      </c>
      <c r="D59" s="22" t="e">
        <f t="shared" si="4"/>
        <v>#N/A</v>
      </c>
      <c r="E59" s="22" t="e">
        <f t="shared" si="1"/>
        <v>#N/A</v>
      </c>
      <c r="F59" s="23" t="e">
        <f t="shared" si="5"/>
        <v>#N/A</v>
      </c>
      <c r="G59" s="23" t="e">
        <f>SUM(F59:F$127)</f>
        <v>#N/A</v>
      </c>
      <c r="H59" s="23" t="e">
        <f>SUM(G59:$G$127)</f>
        <v>#N/A</v>
      </c>
      <c r="I59" s="23" t="e">
        <f t="shared" si="6"/>
        <v>#N/A</v>
      </c>
      <c r="J59" s="23" t="e">
        <f>SUM(I59:I$127)</f>
        <v>#N/A</v>
      </c>
      <c r="K59" s="23" t="e">
        <f>SUM(J59:J$127)</f>
        <v>#N/A</v>
      </c>
      <c r="L59" s="24" t="e">
        <f t="shared" si="2"/>
        <v>#N/A</v>
      </c>
    </row>
    <row r="60" spans="1:15" x14ac:dyDescent="0.25">
      <c r="A60" s="20">
        <f t="shared" si="3"/>
        <v>54</v>
      </c>
      <c r="B60" s="21" t="e">
        <f>VLOOKUP(A60,'qx''ler'!$1:$1048576,MATCH(komutasyon_tablo!$A$3,'qx''ler'!$1:$1,0),FALSE)</f>
        <v>#N/A</v>
      </c>
      <c r="C60" s="21" t="e">
        <f t="shared" si="0"/>
        <v>#N/A</v>
      </c>
      <c r="D60" s="22" t="e">
        <f t="shared" si="4"/>
        <v>#N/A</v>
      </c>
      <c r="E60" s="22" t="e">
        <f t="shared" si="1"/>
        <v>#N/A</v>
      </c>
      <c r="F60" s="23" t="e">
        <f t="shared" si="5"/>
        <v>#N/A</v>
      </c>
      <c r="G60" s="23" t="e">
        <f>SUM(F60:F$127)</f>
        <v>#N/A</v>
      </c>
      <c r="H60" s="23" t="e">
        <f>SUM(G60:$G$127)</f>
        <v>#N/A</v>
      </c>
      <c r="I60" s="23" t="e">
        <f t="shared" si="6"/>
        <v>#N/A</v>
      </c>
      <c r="J60" s="23" t="e">
        <f>SUM(I60:I$127)</f>
        <v>#N/A</v>
      </c>
      <c r="K60" s="23" t="e">
        <f>SUM(J60:J$127)</f>
        <v>#N/A</v>
      </c>
      <c r="L60" s="24" t="e">
        <f t="shared" si="2"/>
        <v>#N/A</v>
      </c>
    </row>
    <row r="61" spans="1:15" x14ac:dyDescent="0.25">
      <c r="A61" s="20">
        <f t="shared" si="3"/>
        <v>55</v>
      </c>
      <c r="B61" s="21" t="e">
        <f>VLOOKUP(A61,'qx''ler'!$1:$1048576,MATCH(komutasyon_tablo!$A$3,'qx''ler'!$1:$1,0),FALSE)</f>
        <v>#N/A</v>
      </c>
      <c r="C61" s="21" t="e">
        <f t="shared" si="0"/>
        <v>#N/A</v>
      </c>
      <c r="D61" s="22" t="e">
        <f t="shared" si="4"/>
        <v>#N/A</v>
      </c>
      <c r="E61" s="22" t="e">
        <f t="shared" si="1"/>
        <v>#N/A</v>
      </c>
      <c r="F61" s="23" t="e">
        <f t="shared" si="5"/>
        <v>#N/A</v>
      </c>
      <c r="G61" s="23" t="e">
        <f>SUM(F61:F$127)</f>
        <v>#N/A</v>
      </c>
      <c r="H61" s="23" t="e">
        <f>SUM(G61:$G$127)</f>
        <v>#N/A</v>
      </c>
      <c r="I61" s="23" t="e">
        <f t="shared" si="6"/>
        <v>#N/A</v>
      </c>
      <c r="J61" s="23" t="e">
        <f>SUM(I61:I$127)</f>
        <v>#N/A</v>
      </c>
      <c r="K61" s="23" t="e">
        <f>SUM(J61:J$127)</f>
        <v>#N/A</v>
      </c>
      <c r="L61" s="24" t="e">
        <f t="shared" si="2"/>
        <v>#N/A</v>
      </c>
    </row>
    <row r="62" spans="1:15" x14ac:dyDescent="0.25">
      <c r="A62" s="20">
        <f t="shared" si="3"/>
        <v>56</v>
      </c>
      <c r="B62" s="21" t="e">
        <f>VLOOKUP(A62,'qx''ler'!$1:$1048576,MATCH(komutasyon_tablo!$A$3,'qx''ler'!$1:$1,0),FALSE)</f>
        <v>#N/A</v>
      </c>
      <c r="C62" s="21" t="e">
        <f t="shared" si="0"/>
        <v>#N/A</v>
      </c>
      <c r="D62" s="22" t="e">
        <f t="shared" si="4"/>
        <v>#N/A</v>
      </c>
      <c r="E62" s="22" t="e">
        <f t="shared" si="1"/>
        <v>#N/A</v>
      </c>
      <c r="F62" s="23" t="e">
        <f t="shared" si="5"/>
        <v>#N/A</v>
      </c>
      <c r="G62" s="23" t="e">
        <f>SUM(F62:F$127)</f>
        <v>#N/A</v>
      </c>
      <c r="H62" s="23" t="e">
        <f>SUM(G62:$G$127)</f>
        <v>#N/A</v>
      </c>
      <c r="I62" s="23" t="e">
        <f t="shared" si="6"/>
        <v>#N/A</v>
      </c>
      <c r="J62" s="23" t="e">
        <f>SUM(I62:I$127)</f>
        <v>#N/A</v>
      </c>
      <c r="K62" s="23" t="e">
        <f>SUM(J62:J$127)</f>
        <v>#N/A</v>
      </c>
      <c r="L62" s="24" t="e">
        <f t="shared" si="2"/>
        <v>#N/A</v>
      </c>
    </row>
    <row r="63" spans="1:15" x14ac:dyDescent="0.25">
      <c r="A63" s="20">
        <f t="shared" si="3"/>
        <v>57</v>
      </c>
      <c r="B63" s="21" t="e">
        <f>VLOOKUP(A63,'qx''ler'!$1:$1048576,MATCH(komutasyon_tablo!$A$3,'qx''ler'!$1:$1,0),FALSE)</f>
        <v>#N/A</v>
      </c>
      <c r="C63" s="21" t="e">
        <f t="shared" si="0"/>
        <v>#N/A</v>
      </c>
      <c r="D63" s="22" t="e">
        <f t="shared" si="4"/>
        <v>#N/A</v>
      </c>
      <c r="E63" s="22" t="e">
        <f t="shared" si="1"/>
        <v>#N/A</v>
      </c>
      <c r="F63" s="23" t="e">
        <f t="shared" si="5"/>
        <v>#N/A</v>
      </c>
      <c r="G63" s="23" t="e">
        <f>SUM(F63:F$127)</f>
        <v>#N/A</v>
      </c>
      <c r="H63" s="23" t="e">
        <f>SUM(G63:$G$127)</f>
        <v>#N/A</v>
      </c>
      <c r="I63" s="23" t="e">
        <f t="shared" si="6"/>
        <v>#N/A</v>
      </c>
      <c r="J63" s="23" t="e">
        <f>SUM(I63:I$127)</f>
        <v>#N/A</v>
      </c>
      <c r="K63" s="23" t="e">
        <f>SUM(J63:J$127)</f>
        <v>#N/A</v>
      </c>
      <c r="L63" s="24" t="e">
        <f t="shared" si="2"/>
        <v>#N/A</v>
      </c>
      <c r="O63" s="25"/>
    </row>
    <row r="64" spans="1:15" x14ac:dyDescent="0.25">
      <c r="A64" s="20">
        <f t="shared" si="3"/>
        <v>58</v>
      </c>
      <c r="B64" s="21" t="e">
        <f>VLOOKUP(A64,'qx''ler'!$1:$1048576,MATCH(komutasyon_tablo!$A$3,'qx''ler'!$1:$1,0),FALSE)</f>
        <v>#N/A</v>
      </c>
      <c r="C64" s="21" t="e">
        <f t="shared" si="0"/>
        <v>#N/A</v>
      </c>
      <c r="D64" s="22" t="e">
        <f t="shared" si="4"/>
        <v>#N/A</v>
      </c>
      <c r="E64" s="22" t="e">
        <f t="shared" si="1"/>
        <v>#N/A</v>
      </c>
      <c r="F64" s="23" t="e">
        <f t="shared" si="5"/>
        <v>#N/A</v>
      </c>
      <c r="G64" s="23" t="e">
        <f>SUM(F64:F$127)</f>
        <v>#N/A</v>
      </c>
      <c r="H64" s="23" t="e">
        <f>SUM(G64:$G$127)</f>
        <v>#N/A</v>
      </c>
      <c r="I64" s="23" t="e">
        <f t="shared" si="6"/>
        <v>#N/A</v>
      </c>
      <c r="J64" s="23" t="e">
        <f>SUM(I64:I$127)</f>
        <v>#N/A</v>
      </c>
      <c r="K64" s="23" t="e">
        <f>SUM(J64:J$127)</f>
        <v>#N/A</v>
      </c>
      <c r="L64" s="24" t="e">
        <f t="shared" si="2"/>
        <v>#N/A</v>
      </c>
      <c r="O64" s="25"/>
    </row>
    <row r="65" spans="1:15" x14ac:dyDescent="0.25">
      <c r="A65" s="20">
        <f t="shared" si="3"/>
        <v>59</v>
      </c>
      <c r="B65" s="21" t="e">
        <f>VLOOKUP(A65,'qx''ler'!$1:$1048576,MATCH(komutasyon_tablo!$A$3,'qx''ler'!$1:$1,0),FALSE)</f>
        <v>#N/A</v>
      </c>
      <c r="C65" s="21" t="e">
        <f t="shared" si="0"/>
        <v>#N/A</v>
      </c>
      <c r="D65" s="22" t="e">
        <f t="shared" si="4"/>
        <v>#N/A</v>
      </c>
      <c r="E65" s="22" t="e">
        <f t="shared" si="1"/>
        <v>#N/A</v>
      </c>
      <c r="F65" s="23" t="e">
        <f t="shared" si="5"/>
        <v>#N/A</v>
      </c>
      <c r="G65" s="23" t="e">
        <f>SUM(F65:F$127)</f>
        <v>#N/A</v>
      </c>
      <c r="H65" s="23" t="e">
        <f>SUM(G65:$G$127)</f>
        <v>#N/A</v>
      </c>
      <c r="I65" s="23" t="e">
        <f t="shared" si="6"/>
        <v>#N/A</v>
      </c>
      <c r="J65" s="23" t="e">
        <f>SUM(I65:I$127)</f>
        <v>#N/A</v>
      </c>
      <c r="K65" s="23" t="e">
        <f>SUM(J65:J$127)</f>
        <v>#N/A</v>
      </c>
      <c r="L65" s="24" t="e">
        <f t="shared" si="2"/>
        <v>#N/A</v>
      </c>
      <c r="O65" s="25"/>
    </row>
    <row r="66" spans="1:15" x14ac:dyDescent="0.25">
      <c r="A66" s="20">
        <f t="shared" si="3"/>
        <v>60</v>
      </c>
      <c r="B66" s="21" t="e">
        <f>VLOOKUP(A66,'qx''ler'!$1:$1048576,MATCH(komutasyon_tablo!$A$3,'qx''ler'!$1:$1,0),FALSE)</f>
        <v>#N/A</v>
      </c>
      <c r="C66" s="21" t="e">
        <f t="shared" si="0"/>
        <v>#N/A</v>
      </c>
      <c r="D66" s="22" t="e">
        <f t="shared" si="4"/>
        <v>#N/A</v>
      </c>
      <c r="E66" s="22" t="e">
        <f t="shared" si="1"/>
        <v>#N/A</v>
      </c>
      <c r="F66" s="23" t="e">
        <f t="shared" si="5"/>
        <v>#N/A</v>
      </c>
      <c r="G66" s="23" t="e">
        <f>SUM(F66:F$127)</f>
        <v>#N/A</v>
      </c>
      <c r="H66" s="23" t="e">
        <f>SUM(G66:$G$127)</f>
        <v>#N/A</v>
      </c>
      <c r="I66" s="23" t="e">
        <f t="shared" si="6"/>
        <v>#N/A</v>
      </c>
      <c r="J66" s="23" t="e">
        <f>SUM(I66:I$127)</f>
        <v>#N/A</v>
      </c>
      <c r="K66" s="23" t="e">
        <f>SUM(J66:J$127)</f>
        <v>#N/A</v>
      </c>
      <c r="L66" s="24" t="e">
        <f t="shared" si="2"/>
        <v>#N/A</v>
      </c>
      <c r="O66" s="25"/>
    </row>
    <row r="67" spans="1:15" x14ac:dyDescent="0.25">
      <c r="A67" s="20">
        <f t="shared" si="3"/>
        <v>61</v>
      </c>
      <c r="B67" s="21" t="e">
        <f>VLOOKUP(A67,'qx''ler'!$1:$1048576,MATCH(komutasyon_tablo!$A$3,'qx''ler'!$1:$1,0),FALSE)</f>
        <v>#N/A</v>
      </c>
      <c r="C67" s="21" t="e">
        <f t="shared" si="0"/>
        <v>#N/A</v>
      </c>
      <c r="D67" s="22" t="e">
        <f t="shared" si="4"/>
        <v>#N/A</v>
      </c>
      <c r="E67" s="22" t="e">
        <f t="shared" si="1"/>
        <v>#N/A</v>
      </c>
      <c r="F67" s="23" t="e">
        <f t="shared" si="5"/>
        <v>#N/A</v>
      </c>
      <c r="G67" s="23" t="e">
        <f>SUM(F67:F$127)</f>
        <v>#N/A</v>
      </c>
      <c r="H67" s="23" t="e">
        <f>SUM(G67:$G$127)</f>
        <v>#N/A</v>
      </c>
      <c r="I67" s="23" t="e">
        <f t="shared" si="6"/>
        <v>#N/A</v>
      </c>
      <c r="J67" s="23" t="e">
        <f>SUM(I67:I$127)</f>
        <v>#N/A</v>
      </c>
      <c r="K67" s="23" t="e">
        <f>SUM(J67:J$127)</f>
        <v>#N/A</v>
      </c>
      <c r="L67" s="24" t="e">
        <f t="shared" si="2"/>
        <v>#N/A</v>
      </c>
    </row>
    <row r="68" spans="1:15" x14ac:dyDescent="0.25">
      <c r="A68" s="20">
        <f t="shared" si="3"/>
        <v>62</v>
      </c>
      <c r="B68" s="21" t="e">
        <f>VLOOKUP(A68,'qx''ler'!$1:$1048576,MATCH(komutasyon_tablo!$A$3,'qx''ler'!$1:$1,0),FALSE)</f>
        <v>#N/A</v>
      </c>
      <c r="C68" s="21" t="e">
        <f t="shared" si="0"/>
        <v>#N/A</v>
      </c>
      <c r="D68" s="22" t="e">
        <f t="shared" si="4"/>
        <v>#N/A</v>
      </c>
      <c r="E68" s="22" t="e">
        <f t="shared" si="1"/>
        <v>#N/A</v>
      </c>
      <c r="F68" s="23" t="e">
        <f t="shared" si="5"/>
        <v>#N/A</v>
      </c>
      <c r="G68" s="23" t="e">
        <f>SUM(F68:F$127)</f>
        <v>#N/A</v>
      </c>
      <c r="H68" s="23" t="e">
        <f>SUM(G68:$G$127)</f>
        <v>#N/A</v>
      </c>
      <c r="I68" s="23" t="e">
        <f t="shared" si="6"/>
        <v>#N/A</v>
      </c>
      <c r="J68" s="23" t="e">
        <f>SUM(I68:I$127)</f>
        <v>#N/A</v>
      </c>
      <c r="K68" s="23" t="e">
        <f>SUM(J68:J$127)</f>
        <v>#N/A</v>
      </c>
      <c r="L68" s="24" t="e">
        <f t="shared" si="2"/>
        <v>#N/A</v>
      </c>
    </row>
    <row r="69" spans="1:15" x14ac:dyDescent="0.25">
      <c r="A69" s="20">
        <f t="shared" si="3"/>
        <v>63</v>
      </c>
      <c r="B69" s="21" t="e">
        <f>VLOOKUP(A69,'qx''ler'!$1:$1048576,MATCH(komutasyon_tablo!$A$3,'qx''ler'!$1:$1,0),FALSE)</f>
        <v>#N/A</v>
      </c>
      <c r="C69" s="21" t="e">
        <f t="shared" si="0"/>
        <v>#N/A</v>
      </c>
      <c r="D69" s="22" t="e">
        <f t="shared" si="4"/>
        <v>#N/A</v>
      </c>
      <c r="E69" s="22" t="e">
        <f t="shared" si="1"/>
        <v>#N/A</v>
      </c>
      <c r="F69" s="23" t="e">
        <f t="shared" si="5"/>
        <v>#N/A</v>
      </c>
      <c r="G69" s="23" t="e">
        <f>SUM(F69:F$127)</f>
        <v>#N/A</v>
      </c>
      <c r="H69" s="23" t="e">
        <f>SUM(G69:$G$127)</f>
        <v>#N/A</v>
      </c>
      <c r="I69" s="23" t="e">
        <f t="shared" si="6"/>
        <v>#N/A</v>
      </c>
      <c r="J69" s="23" t="e">
        <f>SUM(I69:I$127)</f>
        <v>#N/A</v>
      </c>
      <c r="K69" s="23" t="e">
        <f>SUM(J69:J$127)</f>
        <v>#N/A</v>
      </c>
      <c r="L69" s="24" t="e">
        <f t="shared" si="2"/>
        <v>#N/A</v>
      </c>
    </row>
    <row r="70" spans="1:15" x14ac:dyDescent="0.25">
      <c r="A70" s="20">
        <f t="shared" si="3"/>
        <v>64</v>
      </c>
      <c r="B70" s="21" t="e">
        <f>VLOOKUP(A70,'qx''ler'!$1:$1048576,MATCH(komutasyon_tablo!$A$3,'qx''ler'!$1:$1,0),FALSE)</f>
        <v>#N/A</v>
      </c>
      <c r="C70" s="21" t="e">
        <f t="shared" ref="C70:C101" si="7">1-B70</f>
        <v>#N/A</v>
      </c>
      <c r="D70" s="22" t="e">
        <f t="shared" si="4"/>
        <v>#N/A</v>
      </c>
      <c r="E70" s="22" t="e">
        <f t="shared" ref="E70:E101" si="8">D70*B70</f>
        <v>#N/A</v>
      </c>
      <c r="F70" s="23" t="e">
        <f t="shared" si="5"/>
        <v>#N/A</v>
      </c>
      <c r="G70" s="23" t="e">
        <f>SUM(F70:F$127)</f>
        <v>#N/A</v>
      </c>
      <c r="H70" s="23" t="e">
        <f>SUM(G70:$G$127)</f>
        <v>#N/A</v>
      </c>
      <c r="I70" s="23" t="e">
        <f t="shared" si="6"/>
        <v>#N/A</v>
      </c>
      <c r="J70" s="23" t="e">
        <f>SUM(I70:I$127)</f>
        <v>#N/A</v>
      </c>
      <c r="K70" s="23" t="e">
        <f>SUM(J70:J$127)</f>
        <v>#N/A</v>
      </c>
      <c r="L70" s="24" t="e">
        <f t="shared" ref="L70:L127" si="9">I70/F70</f>
        <v>#N/A</v>
      </c>
    </row>
    <row r="71" spans="1:15" x14ac:dyDescent="0.25">
      <c r="A71" s="20">
        <f t="shared" ref="A71:A127" si="10">A70+1</f>
        <v>65</v>
      </c>
      <c r="B71" s="21" t="e">
        <f>VLOOKUP(A71,'qx''ler'!$1:$1048576,MATCH(komutasyon_tablo!$A$3,'qx''ler'!$1:$1,0),FALSE)</f>
        <v>#N/A</v>
      </c>
      <c r="C71" s="21" t="e">
        <f t="shared" si="7"/>
        <v>#N/A</v>
      </c>
      <c r="D71" s="22" t="e">
        <f t="shared" ref="D71:D127" si="11">D70-E70</f>
        <v>#N/A</v>
      </c>
      <c r="E71" s="22" t="e">
        <f t="shared" si="8"/>
        <v>#N/A</v>
      </c>
      <c r="F71" s="23" t="e">
        <f t="shared" ref="F71:F127" si="12">D71*(1/($B$3^A71))</f>
        <v>#N/A</v>
      </c>
      <c r="G71" s="23" t="e">
        <f>SUM(F71:F$127)</f>
        <v>#N/A</v>
      </c>
      <c r="H71" s="23" t="e">
        <f>SUM(G71:$G$127)</f>
        <v>#N/A</v>
      </c>
      <c r="I71" s="23" t="e">
        <f t="shared" ref="I71:I127" si="13">E71*(1/($B$3^(A71+1)))</f>
        <v>#N/A</v>
      </c>
      <c r="J71" s="23" t="e">
        <f>SUM(I71:I$127)</f>
        <v>#N/A</v>
      </c>
      <c r="K71" s="23" t="e">
        <f>SUM(J71:J$127)</f>
        <v>#N/A</v>
      </c>
      <c r="L71" s="24" t="e">
        <f t="shared" si="9"/>
        <v>#N/A</v>
      </c>
    </row>
    <row r="72" spans="1:15" x14ac:dyDescent="0.25">
      <c r="A72" s="20">
        <f t="shared" si="10"/>
        <v>66</v>
      </c>
      <c r="B72" s="21" t="e">
        <f>VLOOKUP(A72,'qx''ler'!$1:$1048576,MATCH(komutasyon_tablo!$A$3,'qx''ler'!$1:$1,0),FALSE)</f>
        <v>#N/A</v>
      </c>
      <c r="C72" s="21" t="e">
        <f t="shared" si="7"/>
        <v>#N/A</v>
      </c>
      <c r="D72" s="22" t="e">
        <f t="shared" si="11"/>
        <v>#N/A</v>
      </c>
      <c r="E72" s="22" t="e">
        <f t="shared" si="8"/>
        <v>#N/A</v>
      </c>
      <c r="F72" s="23" t="e">
        <f t="shared" si="12"/>
        <v>#N/A</v>
      </c>
      <c r="G72" s="23" t="e">
        <f>SUM(F72:F$127)</f>
        <v>#N/A</v>
      </c>
      <c r="H72" s="23" t="e">
        <f>SUM(G72:$G$127)</f>
        <v>#N/A</v>
      </c>
      <c r="I72" s="23" t="e">
        <f t="shared" si="13"/>
        <v>#N/A</v>
      </c>
      <c r="J72" s="23" t="e">
        <f>SUM(I72:I$127)</f>
        <v>#N/A</v>
      </c>
      <c r="K72" s="23" t="e">
        <f>SUM(J72:J$127)</f>
        <v>#N/A</v>
      </c>
      <c r="L72" s="24" t="e">
        <f t="shared" si="9"/>
        <v>#N/A</v>
      </c>
    </row>
    <row r="73" spans="1:15" x14ac:dyDescent="0.25">
      <c r="A73" s="20">
        <f t="shared" si="10"/>
        <v>67</v>
      </c>
      <c r="B73" s="21" t="e">
        <f>VLOOKUP(A73,'qx''ler'!$1:$1048576,MATCH(komutasyon_tablo!$A$3,'qx''ler'!$1:$1,0),FALSE)</f>
        <v>#N/A</v>
      </c>
      <c r="C73" s="21" t="e">
        <f t="shared" si="7"/>
        <v>#N/A</v>
      </c>
      <c r="D73" s="22" t="e">
        <f t="shared" si="11"/>
        <v>#N/A</v>
      </c>
      <c r="E73" s="22" t="e">
        <f t="shared" si="8"/>
        <v>#N/A</v>
      </c>
      <c r="F73" s="23" t="e">
        <f t="shared" si="12"/>
        <v>#N/A</v>
      </c>
      <c r="G73" s="23" t="e">
        <f>SUM(F73:F$127)</f>
        <v>#N/A</v>
      </c>
      <c r="H73" s="23" t="e">
        <f>SUM(G73:$G$127)</f>
        <v>#N/A</v>
      </c>
      <c r="I73" s="23" t="e">
        <f t="shared" si="13"/>
        <v>#N/A</v>
      </c>
      <c r="J73" s="23" t="e">
        <f>SUM(I73:I$127)</f>
        <v>#N/A</v>
      </c>
      <c r="K73" s="23" t="e">
        <f>SUM(J73:J$127)</f>
        <v>#N/A</v>
      </c>
      <c r="L73" s="24" t="e">
        <f t="shared" si="9"/>
        <v>#N/A</v>
      </c>
    </row>
    <row r="74" spans="1:15" x14ac:dyDescent="0.25">
      <c r="A74" s="20">
        <f t="shared" si="10"/>
        <v>68</v>
      </c>
      <c r="B74" s="21" t="e">
        <f>VLOOKUP(A74,'qx''ler'!$1:$1048576,MATCH(komutasyon_tablo!$A$3,'qx''ler'!$1:$1,0),FALSE)</f>
        <v>#N/A</v>
      </c>
      <c r="C74" s="21" t="e">
        <f t="shared" si="7"/>
        <v>#N/A</v>
      </c>
      <c r="D74" s="22" t="e">
        <f t="shared" si="11"/>
        <v>#N/A</v>
      </c>
      <c r="E74" s="22" t="e">
        <f t="shared" si="8"/>
        <v>#N/A</v>
      </c>
      <c r="F74" s="23" t="e">
        <f t="shared" si="12"/>
        <v>#N/A</v>
      </c>
      <c r="G74" s="23" t="e">
        <f>SUM(F74:F$127)</f>
        <v>#N/A</v>
      </c>
      <c r="H74" s="23" t="e">
        <f>SUM(G74:$G$127)</f>
        <v>#N/A</v>
      </c>
      <c r="I74" s="23" t="e">
        <f t="shared" si="13"/>
        <v>#N/A</v>
      </c>
      <c r="J74" s="23" t="e">
        <f>SUM(I74:I$127)</f>
        <v>#N/A</v>
      </c>
      <c r="K74" s="23" t="e">
        <f>SUM(J74:J$127)</f>
        <v>#N/A</v>
      </c>
      <c r="L74" s="24" t="e">
        <f t="shared" si="9"/>
        <v>#N/A</v>
      </c>
    </row>
    <row r="75" spans="1:15" x14ac:dyDescent="0.25">
      <c r="A75" s="20">
        <f t="shared" si="10"/>
        <v>69</v>
      </c>
      <c r="B75" s="21" t="e">
        <f>VLOOKUP(A75,'qx''ler'!$1:$1048576,MATCH(komutasyon_tablo!$A$3,'qx''ler'!$1:$1,0),FALSE)</f>
        <v>#N/A</v>
      </c>
      <c r="C75" s="21" t="e">
        <f t="shared" si="7"/>
        <v>#N/A</v>
      </c>
      <c r="D75" s="22" t="e">
        <f t="shared" si="11"/>
        <v>#N/A</v>
      </c>
      <c r="E75" s="22" t="e">
        <f t="shared" si="8"/>
        <v>#N/A</v>
      </c>
      <c r="F75" s="23" t="e">
        <f t="shared" si="12"/>
        <v>#N/A</v>
      </c>
      <c r="G75" s="23" t="e">
        <f>SUM(F75:F$127)</f>
        <v>#N/A</v>
      </c>
      <c r="H75" s="23" t="e">
        <f>SUM(G75:$G$127)</f>
        <v>#N/A</v>
      </c>
      <c r="I75" s="23" t="e">
        <f t="shared" si="13"/>
        <v>#N/A</v>
      </c>
      <c r="J75" s="23" t="e">
        <f>SUM(I75:I$127)</f>
        <v>#N/A</v>
      </c>
      <c r="K75" s="23" t="e">
        <f>SUM(J75:J$127)</f>
        <v>#N/A</v>
      </c>
      <c r="L75" s="24" t="e">
        <f t="shared" si="9"/>
        <v>#N/A</v>
      </c>
    </row>
    <row r="76" spans="1:15" x14ac:dyDescent="0.25">
      <c r="A76" s="20">
        <f t="shared" si="10"/>
        <v>70</v>
      </c>
      <c r="B76" s="21" t="e">
        <f>VLOOKUP(A76,'qx''ler'!$1:$1048576,MATCH(komutasyon_tablo!$A$3,'qx''ler'!$1:$1,0),FALSE)</f>
        <v>#N/A</v>
      </c>
      <c r="C76" s="21" t="e">
        <f t="shared" si="7"/>
        <v>#N/A</v>
      </c>
      <c r="D76" s="22" t="e">
        <f t="shared" si="11"/>
        <v>#N/A</v>
      </c>
      <c r="E76" s="22" t="e">
        <f t="shared" si="8"/>
        <v>#N/A</v>
      </c>
      <c r="F76" s="23" t="e">
        <f t="shared" si="12"/>
        <v>#N/A</v>
      </c>
      <c r="G76" s="23" t="e">
        <f>SUM(F76:F$127)</f>
        <v>#N/A</v>
      </c>
      <c r="H76" s="23" t="e">
        <f>SUM(G76:$G$127)</f>
        <v>#N/A</v>
      </c>
      <c r="I76" s="23" t="e">
        <f t="shared" si="13"/>
        <v>#N/A</v>
      </c>
      <c r="J76" s="23" t="e">
        <f>SUM(I76:I$127)</f>
        <v>#N/A</v>
      </c>
      <c r="K76" s="23" t="e">
        <f>SUM(J76:J$127)</f>
        <v>#N/A</v>
      </c>
      <c r="L76" s="24" t="e">
        <f t="shared" si="9"/>
        <v>#N/A</v>
      </c>
    </row>
    <row r="77" spans="1:15" x14ac:dyDescent="0.25">
      <c r="A77" s="20">
        <f t="shared" si="10"/>
        <v>71</v>
      </c>
      <c r="B77" s="21" t="e">
        <f>VLOOKUP(A77,'qx''ler'!$1:$1048576,MATCH(komutasyon_tablo!$A$3,'qx''ler'!$1:$1,0),FALSE)</f>
        <v>#N/A</v>
      </c>
      <c r="C77" s="21" t="e">
        <f t="shared" si="7"/>
        <v>#N/A</v>
      </c>
      <c r="D77" s="22" t="e">
        <f t="shared" si="11"/>
        <v>#N/A</v>
      </c>
      <c r="E77" s="22" t="e">
        <f t="shared" si="8"/>
        <v>#N/A</v>
      </c>
      <c r="F77" s="23" t="e">
        <f t="shared" si="12"/>
        <v>#N/A</v>
      </c>
      <c r="G77" s="23" t="e">
        <f>SUM(F77:F$127)</f>
        <v>#N/A</v>
      </c>
      <c r="H77" s="23" t="e">
        <f>SUM(G77:$G$127)</f>
        <v>#N/A</v>
      </c>
      <c r="I77" s="23" t="e">
        <f t="shared" si="13"/>
        <v>#N/A</v>
      </c>
      <c r="J77" s="23" t="e">
        <f>SUM(I77:I$127)</f>
        <v>#N/A</v>
      </c>
      <c r="K77" s="23" t="e">
        <f>SUM(J77:J$127)</f>
        <v>#N/A</v>
      </c>
      <c r="L77" s="24" t="e">
        <f t="shared" si="9"/>
        <v>#N/A</v>
      </c>
    </row>
    <row r="78" spans="1:15" x14ac:dyDescent="0.25">
      <c r="A78" s="20">
        <f t="shared" si="10"/>
        <v>72</v>
      </c>
      <c r="B78" s="21" t="e">
        <f>VLOOKUP(A78,'qx''ler'!$1:$1048576,MATCH(komutasyon_tablo!$A$3,'qx''ler'!$1:$1,0),FALSE)</f>
        <v>#N/A</v>
      </c>
      <c r="C78" s="21" t="e">
        <f t="shared" si="7"/>
        <v>#N/A</v>
      </c>
      <c r="D78" s="22" t="e">
        <f t="shared" si="11"/>
        <v>#N/A</v>
      </c>
      <c r="E78" s="22" t="e">
        <f t="shared" si="8"/>
        <v>#N/A</v>
      </c>
      <c r="F78" s="23" t="e">
        <f t="shared" si="12"/>
        <v>#N/A</v>
      </c>
      <c r="G78" s="23" t="e">
        <f>SUM(F78:F$127)</f>
        <v>#N/A</v>
      </c>
      <c r="H78" s="23" t="e">
        <f>SUM(G78:$G$127)</f>
        <v>#N/A</v>
      </c>
      <c r="I78" s="23" t="e">
        <f t="shared" si="13"/>
        <v>#N/A</v>
      </c>
      <c r="J78" s="23" t="e">
        <f>SUM(I78:I$127)</f>
        <v>#N/A</v>
      </c>
      <c r="K78" s="23" t="e">
        <f>SUM(J78:J$127)</f>
        <v>#N/A</v>
      </c>
      <c r="L78" s="24" t="e">
        <f t="shared" si="9"/>
        <v>#N/A</v>
      </c>
    </row>
    <row r="79" spans="1:15" x14ac:dyDescent="0.25">
      <c r="A79" s="20">
        <f t="shared" si="10"/>
        <v>73</v>
      </c>
      <c r="B79" s="21" t="e">
        <f>VLOOKUP(A79,'qx''ler'!$1:$1048576,MATCH(komutasyon_tablo!$A$3,'qx''ler'!$1:$1,0),FALSE)</f>
        <v>#N/A</v>
      </c>
      <c r="C79" s="21" t="e">
        <f t="shared" si="7"/>
        <v>#N/A</v>
      </c>
      <c r="D79" s="22" t="e">
        <f t="shared" si="11"/>
        <v>#N/A</v>
      </c>
      <c r="E79" s="22" t="e">
        <f t="shared" si="8"/>
        <v>#N/A</v>
      </c>
      <c r="F79" s="23" t="e">
        <f t="shared" si="12"/>
        <v>#N/A</v>
      </c>
      <c r="G79" s="23" t="e">
        <f>SUM(F79:F$127)</f>
        <v>#N/A</v>
      </c>
      <c r="H79" s="23" t="e">
        <f>SUM(G79:$G$127)</f>
        <v>#N/A</v>
      </c>
      <c r="I79" s="23" t="e">
        <f t="shared" si="13"/>
        <v>#N/A</v>
      </c>
      <c r="J79" s="23" t="e">
        <f>SUM(I79:I$127)</f>
        <v>#N/A</v>
      </c>
      <c r="K79" s="23" t="e">
        <f>SUM(J79:J$127)</f>
        <v>#N/A</v>
      </c>
      <c r="L79" s="24" t="e">
        <f t="shared" si="9"/>
        <v>#N/A</v>
      </c>
    </row>
    <row r="80" spans="1:15" x14ac:dyDescent="0.25">
      <c r="A80" s="20">
        <f t="shared" si="10"/>
        <v>74</v>
      </c>
      <c r="B80" s="21" t="e">
        <f>VLOOKUP(A80,'qx''ler'!$1:$1048576,MATCH(komutasyon_tablo!$A$3,'qx''ler'!$1:$1,0),FALSE)</f>
        <v>#N/A</v>
      </c>
      <c r="C80" s="21" t="e">
        <f t="shared" si="7"/>
        <v>#N/A</v>
      </c>
      <c r="D80" s="22" t="e">
        <f t="shared" si="11"/>
        <v>#N/A</v>
      </c>
      <c r="E80" s="22" t="e">
        <f t="shared" si="8"/>
        <v>#N/A</v>
      </c>
      <c r="F80" s="23" t="e">
        <f t="shared" si="12"/>
        <v>#N/A</v>
      </c>
      <c r="G80" s="23" t="e">
        <f>SUM(F80:F$127)</f>
        <v>#N/A</v>
      </c>
      <c r="H80" s="23" t="e">
        <f>SUM(G80:$G$127)</f>
        <v>#N/A</v>
      </c>
      <c r="I80" s="23" t="e">
        <f t="shared" si="13"/>
        <v>#N/A</v>
      </c>
      <c r="J80" s="23" t="e">
        <f>SUM(I80:I$127)</f>
        <v>#N/A</v>
      </c>
      <c r="K80" s="23" t="e">
        <f>SUM(J80:J$127)</f>
        <v>#N/A</v>
      </c>
      <c r="L80" s="24" t="e">
        <f t="shared" si="9"/>
        <v>#N/A</v>
      </c>
    </row>
    <row r="81" spans="1:12" x14ac:dyDescent="0.25">
      <c r="A81" s="20">
        <f t="shared" si="10"/>
        <v>75</v>
      </c>
      <c r="B81" s="21" t="e">
        <f>VLOOKUP(A81,'qx''ler'!$1:$1048576,MATCH(komutasyon_tablo!$A$3,'qx''ler'!$1:$1,0),FALSE)</f>
        <v>#N/A</v>
      </c>
      <c r="C81" s="21" t="e">
        <f t="shared" si="7"/>
        <v>#N/A</v>
      </c>
      <c r="D81" s="22" t="e">
        <f t="shared" si="11"/>
        <v>#N/A</v>
      </c>
      <c r="E81" s="22" t="e">
        <f t="shared" si="8"/>
        <v>#N/A</v>
      </c>
      <c r="F81" s="23" t="e">
        <f t="shared" si="12"/>
        <v>#N/A</v>
      </c>
      <c r="G81" s="23" t="e">
        <f>SUM(F81:F$127)</f>
        <v>#N/A</v>
      </c>
      <c r="H81" s="23" t="e">
        <f>SUM(G81:$G$127)</f>
        <v>#N/A</v>
      </c>
      <c r="I81" s="23" t="e">
        <f t="shared" si="13"/>
        <v>#N/A</v>
      </c>
      <c r="J81" s="23" t="e">
        <f>SUM(I81:I$127)</f>
        <v>#N/A</v>
      </c>
      <c r="K81" s="23" t="e">
        <f>SUM(J81:J$127)</f>
        <v>#N/A</v>
      </c>
      <c r="L81" s="24" t="e">
        <f t="shared" si="9"/>
        <v>#N/A</v>
      </c>
    </row>
    <row r="82" spans="1:12" x14ac:dyDescent="0.25">
      <c r="A82" s="20">
        <f t="shared" si="10"/>
        <v>76</v>
      </c>
      <c r="B82" s="21" t="e">
        <f>VLOOKUP(A82,'qx''ler'!$1:$1048576,MATCH(komutasyon_tablo!$A$3,'qx''ler'!$1:$1,0),FALSE)</f>
        <v>#N/A</v>
      </c>
      <c r="C82" s="21" t="e">
        <f t="shared" si="7"/>
        <v>#N/A</v>
      </c>
      <c r="D82" s="22" t="e">
        <f t="shared" si="11"/>
        <v>#N/A</v>
      </c>
      <c r="E82" s="22" t="e">
        <f t="shared" si="8"/>
        <v>#N/A</v>
      </c>
      <c r="F82" s="23" t="e">
        <f t="shared" si="12"/>
        <v>#N/A</v>
      </c>
      <c r="G82" s="23" t="e">
        <f>SUM(F82:F$127)</f>
        <v>#N/A</v>
      </c>
      <c r="H82" s="23" t="e">
        <f>SUM(G82:$G$127)</f>
        <v>#N/A</v>
      </c>
      <c r="I82" s="23" t="e">
        <f t="shared" si="13"/>
        <v>#N/A</v>
      </c>
      <c r="J82" s="23" t="e">
        <f>SUM(I82:I$127)</f>
        <v>#N/A</v>
      </c>
      <c r="K82" s="23" t="e">
        <f>SUM(J82:J$127)</f>
        <v>#N/A</v>
      </c>
      <c r="L82" s="24" t="e">
        <f t="shared" si="9"/>
        <v>#N/A</v>
      </c>
    </row>
    <row r="83" spans="1:12" x14ac:dyDescent="0.25">
      <c r="A83" s="20">
        <f t="shared" si="10"/>
        <v>77</v>
      </c>
      <c r="B83" s="21" t="e">
        <f>VLOOKUP(A83,'qx''ler'!$1:$1048576,MATCH(komutasyon_tablo!$A$3,'qx''ler'!$1:$1,0),FALSE)</f>
        <v>#N/A</v>
      </c>
      <c r="C83" s="21" t="e">
        <f t="shared" si="7"/>
        <v>#N/A</v>
      </c>
      <c r="D83" s="22" t="e">
        <f t="shared" si="11"/>
        <v>#N/A</v>
      </c>
      <c r="E83" s="22" t="e">
        <f t="shared" si="8"/>
        <v>#N/A</v>
      </c>
      <c r="F83" s="23" t="e">
        <f t="shared" si="12"/>
        <v>#N/A</v>
      </c>
      <c r="G83" s="23" t="e">
        <f>SUM(F83:F$127)</f>
        <v>#N/A</v>
      </c>
      <c r="H83" s="23" t="e">
        <f>SUM(G83:$G$127)</f>
        <v>#N/A</v>
      </c>
      <c r="I83" s="23" t="e">
        <f t="shared" si="13"/>
        <v>#N/A</v>
      </c>
      <c r="J83" s="23" t="e">
        <f>SUM(I83:I$127)</f>
        <v>#N/A</v>
      </c>
      <c r="K83" s="23" t="e">
        <f>SUM(J83:J$127)</f>
        <v>#N/A</v>
      </c>
      <c r="L83" s="24" t="e">
        <f t="shared" si="9"/>
        <v>#N/A</v>
      </c>
    </row>
    <row r="84" spans="1:12" x14ac:dyDescent="0.25">
      <c r="A84" s="20">
        <f t="shared" si="10"/>
        <v>78</v>
      </c>
      <c r="B84" s="21" t="e">
        <f>VLOOKUP(A84,'qx''ler'!$1:$1048576,MATCH(komutasyon_tablo!$A$3,'qx''ler'!$1:$1,0),FALSE)</f>
        <v>#N/A</v>
      </c>
      <c r="C84" s="21" t="e">
        <f t="shared" si="7"/>
        <v>#N/A</v>
      </c>
      <c r="D84" s="22" t="e">
        <f t="shared" si="11"/>
        <v>#N/A</v>
      </c>
      <c r="E84" s="22" t="e">
        <f t="shared" si="8"/>
        <v>#N/A</v>
      </c>
      <c r="F84" s="23" t="e">
        <f t="shared" si="12"/>
        <v>#N/A</v>
      </c>
      <c r="G84" s="23" t="e">
        <f>SUM(F84:F$127)</f>
        <v>#N/A</v>
      </c>
      <c r="H84" s="23" t="e">
        <f>SUM(G84:$G$127)</f>
        <v>#N/A</v>
      </c>
      <c r="I84" s="23" t="e">
        <f t="shared" si="13"/>
        <v>#N/A</v>
      </c>
      <c r="J84" s="23" t="e">
        <f>SUM(I84:I$127)</f>
        <v>#N/A</v>
      </c>
      <c r="K84" s="23" t="e">
        <f>SUM(J84:J$127)</f>
        <v>#N/A</v>
      </c>
      <c r="L84" s="24" t="e">
        <f t="shared" si="9"/>
        <v>#N/A</v>
      </c>
    </row>
    <row r="85" spans="1:12" x14ac:dyDescent="0.25">
      <c r="A85" s="20">
        <f t="shared" si="10"/>
        <v>79</v>
      </c>
      <c r="B85" s="21" t="e">
        <f>VLOOKUP(A85,'qx''ler'!$1:$1048576,MATCH(komutasyon_tablo!$A$3,'qx''ler'!$1:$1,0),FALSE)</f>
        <v>#N/A</v>
      </c>
      <c r="C85" s="21" t="e">
        <f t="shared" si="7"/>
        <v>#N/A</v>
      </c>
      <c r="D85" s="22" t="e">
        <f t="shared" si="11"/>
        <v>#N/A</v>
      </c>
      <c r="E85" s="22" t="e">
        <f t="shared" si="8"/>
        <v>#N/A</v>
      </c>
      <c r="F85" s="23" t="e">
        <f t="shared" si="12"/>
        <v>#N/A</v>
      </c>
      <c r="G85" s="23" t="e">
        <f>SUM(F85:F$127)</f>
        <v>#N/A</v>
      </c>
      <c r="H85" s="23" t="e">
        <f>SUM(G85:$G$127)</f>
        <v>#N/A</v>
      </c>
      <c r="I85" s="23" t="e">
        <f t="shared" si="13"/>
        <v>#N/A</v>
      </c>
      <c r="J85" s="23" t="e">
        <f>SUM(I85:I$127)</f>
        <v>#N/A</v>
      </c>
      <c r="K85" s="23" t="e">
        <f>SUM(J85:J$127)</f>
        <v>#N/A</v>
      </c>
      <c r="L85" s="24" t="e">
        <f t="shared" si="9"/>
        <v>#N/A</v>
      </c>
    </row>
    <row r="86" spans="1:12" x14ac:dyDescent="0.25">
      <c r="A86" s="20">
        <f t="shared" si="10"/>
        <v>80</v>
      </c>
      <c r="B86" s="21" t="e">
        <f>VLOOKUP(A86,'qx''ler'!$1:$1048576,MATCH(komutasyon_tablo!$A$3,'qx''ler'!$1:$1,0),FALSE)</f>
        <v>#N/A</v>
      </c>
      <c r="C86" s="21" t="e">
        <f t="shared" si="7"/>
        <v>#N/A</v>
      </c>
      <c r="D86" s="22" t="e">
        <f t="shared" si="11"/>
        <v>#N/A</v>
      </c>
      <c r="E86" s="22" t="e">
        <f t="shared" si="8"/>
        <v>#N/A</v>
      </c>
      <c r="F86" s="23" t="e">
        <f t="shared" si="12"/>
        <v>#N/A</v>
      </c>
      <c r="G86" s="23" t="e">
        <f>SUM(F86:F$127)</f>
        <v>#N/A</v>
      </c>
      <c r="H86" s="23" t="e">
        <f>SUM(G86:$G$127)</f>
        <v>#N/A</v>
      </c>
      <c r="I86" s="23" t="e">
        <f t="shared" si="13"/>
        <v>#N/A</v>
      </c>
      <c r="J86" s="23" t="e">
        <f>SUM(I86:I$127)</f>
        <v>#N/A</v>
      </c>
      <c r="K86" s="23" t="e">
        <f>SUM(J86:J$127)</f>
        <v>#N/A</v>
      </c>
      <c r="L86" s="24" t="e">
        <f t="shared" si="9"/>
        <v>#N/A</v>
      </c>
    </row>
    <row r="87" spans="1:12" x14ac:dyDescent="0.25">
      <c r="A87" s="20">
        <f t="shared" si="10"/>
        <v>81</v>
      </c>
      <c r="B87" s="21" t="e">
        <f>VLOOKUP(A87,'qx''ler'!$1:$1048576,MATCH(komutasyon_tablo!$A$3,'qx''ler'!$1:$1,0),FALSE)</f>
        <v>#N/A</v>
      </c>
      <c r="C87" s="21" t="e">
        <f t="shared" si="7"/>
        <v>#N/A</v>
      </c>
      <c r="D87" s="22" t="e">
        <f t="shared" si="11"/>
        <v>#N/A</v>
      </c>
      <c r="E87" s="22" t="e">
        <f t="shared" si="8"/>
        <v>#N/A</v>
      </c>
      <c r="F87" s="23" t="e">
        <f t="shared" si="12"/>
        <v>#N/A</v>
      </c>
      <c r="G87" s="23" t="e">
        <f>SUM(F87:F$127)</f>
        <v>#N/A</v>
      </c>
      <c r="H87" s="23" t="e">
        <f>SUM(G87:$G$127)</f>
        <v>#N/A</v>
      </c>
      <c r="I87" s="23" t="e">
        <f t="shared" si="13"/>
        <v>#N/A</v>
      </c>
      <c r="J87" s="23" t="e">
        <f>SUM(I87:I$127)</f>
        <v>#N/A</v>
      </c>
      <c r="K87" s="23" t="e">
        <f>SUM(J87:J$127)</f>
        <v>#N/A</v>
      </c>
      <c r="L87" s="24" t="e">
        <f t="shared" si="9"/>
        <v>#N/A</v>
      </c>
    </row>
    <row r="88" spans="1:12" x14ac:dyDescent="0.25">
      <c r="A88" s="20">
        <f t="shared" si="10"/>
        <v>82</v>
      </c>
      <c r="B88" s="21" t="e">
        <f>VLOOKUP(A88,'qx''ler'!$1:$1048576,MATCH(komutasyon_tablo!$A$3,'qx''ler'!$1:$1,0),FALSE)</f>
        <v>#N/A</v>
      </c>
      <c r="C88" s="21" t="e">
        <f t="shared" si="7"/>
        <v>#N/A</v>
      </c>
      <c r="D88" s="22" t="e">
        <f t="shared" si="11"/>
        <v>#N/A</v>
      </c>
      <c r="E88" s="22" t="e">
        <f t="shared" si="8"/>
        <v>#N/A</v>
      </c>
      <c r="F88" s="23" t="e">
        <f t="shared" si="12"/>
        <v>#N/A</v>
      </c>
      <c r="G88" s="23" t="e">
        <f>SUM(F88:F$127)</f>
        <v>#N/A</v>
      </c>
      <c r="H88" s="23" t="e">
        <f>SUM(G88:$G$127)</f>
        <v>#N/A</v>
      </c>
      <c r="I88" s="23" t="e">
        <f t="shared" si="13"/>
        <v>#N/A</v>
      </c>
      <c r="J88" s="23" t="e">
        <f>SUM(I88:I$127)</f>
        <v>#N/A</v>
      </c>
      <c r="K88" s="23" t="e">
        <f>SUM(J88:J$127)</f>
        <v>#N/A</v>
      </c>
      <c r="L88" s="24" t="e">
        <f t="shared" si="9"/>
        <v>#N/A</v>
      </c>
    </row>
    <row r="89" spans="1:12" x14ac:dyDescent="0.25">
      <c r="A89" s="20">
        <f t="shared" si="10"/>
        <v>83</v>
      </c>
      <c r="B89" s="21" t="e">
        <f>VLOOKUP(A89,'qx''ler'!$1:$1048576,MATCH(komutasyon_tablo!$A$3,'qx''ler'!$1:$1,0),FALSE)</f>
        <v>#N/A</v>
      </c>
      <c r="C89" s="21" t="e">
        <f t="shared" si="7"/>
        <v>#N/A</v>
      </c>
      <c r="D89" s="22" t="e">
        <f t="shared" si="11"/>
        <v>#N/A</v>
      </c>
      <c r="E89" s="22" t="e">
        <f t="shared" si="8"/>
        <v>#N/A</v>
      </c>
      <c r="F89" s="23" t="e">
        <f t="shared" si="12"/>
        <v>#N/A</v>
      </c>
      <c r="G89" s="23" t="e">
        <f>SUM(F89:F$127)</f>
        <v>#N/A</v>
      </c>
      <c r="H89" s="23" t="e">
        <f>SUM(G89:$G$127)</f>
        <v>#N/A</v>
      </c>
      <c r="I89" s="23" t="e">
        <f t="shared" si="13"/>
        <v>#N/A</v>
      </c>
      <c r="J89" s="23" t="e">
        <f>SUM(I89:I$127)</f>
        <v>#N/A</v>
      </c>
      <c r="K89" s="23" t="e">
        <f>SUM(J89:J$127)</f>
        <v>#N/A</v>
      </c>
      <c r="L89" s="24" t="e">
        <f t="shared" si="9"/>
        <v>#N/A</v>
      </c>
    </row>
    <row r="90" spans="1:12" x14ac:dyDescent="0.25">
      <c r="A90" s="20">
        <f t="shared" si="10"/>
        <v>84</v>
      </c>
      <c r="B90" s="21" t="e">
        <f>VLOOKUP(A90,'qx''ler'!$1:$1048576,MATCH(komutasyon_tablo!$A$3,'qx''ler'!$1:$1,0),FALSE)</f>
        <v>#N/A</v>
      </c>
      <c r="C90" s="21" t="e">
        <f t="shared" si="7"/>
        <v>#N/A</v>
      </c>
      <c r="D90" s="22" t="e">
        <f t="shared" si="11"/>
        <v>#N/A</v>
      </c>
      <c r="E90" s="22" t="e">
        <f t="shared" si="8"/>
        <v>#N/A</v>
      </c>
      <c r="F90" s="23" t="e">
        <f t="shared" si="12"/>
        <v>#N/A</v>
      </c>
      <c r="G90" s="23" t="e">
        <f>SUM(F90:F$127)</f>
        <v>#N/A</v>
      </c>
      <c r="H90" s="23" t="e">
        <f>SUM(G90:$G$127)</f>
        <v>#N/A</v>
      </c>
      <c r="I90" s="23" t="e">
        <f t="shared" si="13"/>
        <v>#N/A</v>
      </c>
      <c r="J90" s="23" t="e">
        <f>SUM(I90:I$127)</f>
        <v>#N/A</v>
      </c>
      <c r="K90" s="23" t="e">
        <f>SUM(J90:J$127)</f>
        <v>#N/A</v>
      </c>
      <c r="L90" s="24" t="e">
        <f t="shared" si="9"/>
        <v>#N/A</v>
      </c>
    </row>
    <row r="91" spans="1:12" x14ac:dyDescent="0.25">
      <c r="A91" s="20">
        <f t="shared" si="10"/>
        <v>85</v>
      </c>
      <c r="B91" s="21" t="e">
        <f>VLOOKUP(A91,'qx''ler'!$1:$1048576,MATCH(komutasyon_tablo!$A$3,'qx''ler'!$1:$1,0),FALSE)</f>
        <v>#N/A</v>
      </c>
      <c r="C91" s="21" t="e">
        <f t="shared" si="7"/>
        <v>#N/A</v>
      </c>
      <c r="D91" s="22" t="e">
        <f t="shared" si="11"/>
        <v>#N/A</v>
      </c>
      <c r="E91" s="22" t="e">
        <f t="shared" si="8"/>
        <v>#N/A</v>
      </c>
      <c r="F91" s="23" t="e">
        <f t="shared" si="12"/>
        <v>#N/A</v>
      </c>
      <c r="G91" s="23" t="e">
        <f>SUM(F91:F$127)</f>
        <v>#N/A</v>
      </c>
      <c r="H91" s="23" t="e">
        <f>SUM(G91:$G$127)</f>
        <v>#N/A</v>
      </c>
      <c r="I91" s="23" t="e">
        <f t="shared" si="13"/>
        <v>#N/A</v>
      </c>
      <c r="J91" s="23" t="e">
        <f>SUM(I91:I$127)</f>
        <v>#N/A</v>
      </c>
      <c r="K91" s="23" t="e">
        <f>SUM(J91:J$127)</f>
        <v>#N/A</v>
      </c>
      <c r="L91" s="24" t="e">
        <f t="shared" si="9"/>
        <v>#N/A</v>
      </c>
    </row>
    <row r="92" spans="1:12" x14ac:dyDescent="0.25">
      <c r="A92" s="20">
        <f t="shared" si="10"/>
        <v>86</v>
      </c>
      <c r="B92" s="21" t="e">
        <f>VLOOKUP(A92,'qx''ler'!$1:$1048576,MATCH(komutasyon_tablo!$A$3,'qx''ler'!$1:$1,0),FALSE)</f>
        <v>#N/A</v>
      </c>
      <c r="C92" s="21" t="e">
        <f t="shared" si="7"/>
        <v>#N/A</v>
      </c>
      <c r="D92" s="22" t="e">
        <f t="shared" si="11"/>
        <v>#N/A</v>
      </c>
      <c r="E92" s="22" t="e">
        <f t="shared" si="8"/>
        <v>#N/A</v>
      </c>
      <c r="F92" s="23" t="e">
        <f t="shared" si="12"/>
        <v>#N/A</v>
      </c>
      <c r="G92" s="23" t="e">
        <f>SUM(F92:F$127)</f>
        <v>#N/A</v>
      </c>
      <c r="H92" s="23" t="e">
        <f>SUM(G92:$G$127)</f>
        <v>#N/A</v>
      </c>
      <c r="I92" s="23" t="e">
        <f t="shared" si="13"/>
        <v>#N/A</v>
      </c>
      <c r="J92" s="23" t="e">
        <f>SUM(I92:I$127)</f>
        <v>#N/A</v>
      </c>
      <c r="K92" s="23" t="e">
        <f>SUM(J92:J$127)</f>
        <v>#N/A</v>
      </c>
      <c r="L92" s="24" t="e">
        <f t="shared" si="9"/>
        <v>#N/A</v>
      </c>
    </row>
    <row r="93" spans="1:12" x14ac:dyDescent="0.25">
      <c r="A93" s="20">
        <f t="shared" si="10"/>
        <v>87</v>
      </c>
      <c r="B93" s="21" t="e">
        <f>VLOOKUP(A93,'qx''ler'!$1:$1048576,MATCH(komutasyon_tablo!$A$3,'qx''ler'!$1:$1,0),FALSE)</f>
        <v>#N/A</v>
      </c>
      <c r="C93" s="21" t="e">
        <f t="shared" si="7"/>
        <v>#N/A</v>
      </c>
      <c r="D93" s="22" t="e">
        <f t="shared" si="11"/>
        <v>#N/A</v>
      </c>
      <c r="E93" s="22" t="e">
        <f t="shared" si="8"/>
        <v>#N/A</v>
      </c>
      <c r="F93" s="23" t="e">
        <f t="shared" si="12"/>
        <v>#N/A</v>
      </c>
      <c r="G93" s="23" t="e">
        <f>SUM(F93:F$127)</f>
        <v>#N/A</v>
      </c>
      <c r="H93" s="23" t="e">
        <f>SUM(G93:$G$127)</f>
        <v>#N/A</v>
      </c>
      <c r="I93" s="23" t="e">
        <f t="shared" si="13"/>
        <v>#N/A</v>
      </c>
      <c r="J93" s="23" t="e">
        <f>SUM(I93:I$127)</f>
        <v>#N/A</v>
      </c>
      <c r="K93" s="23" t="e">
        <f>SUM(J93:J$127)</f>
        <v>#N/A</v>
      </c>
      <c r="L93" s="24" t="e">
        <f t="shared" si="9"/>
        <v>#N/A</v>
      </c>
    </row>
    <row r="94" spans="1:12" x14ac:dyDescent="0.25">
      <c r="A94" s="20">
        <f t="shared" si="10"/>
        <v>88</v>
      </c>
      <c r="B94" s="21" t="e">
        <f>VLOOKUP(A94,'qx''ler'!$1:$1048576,MATCH(komutasyon_tablo!$A$3,'qx''ler'!$1:$1,0),FALSE)</f>
        <v>#N/A</v>
      </c>
      <c r="C94" s="21" t="e">
        <f t="shared" si="7"/>
        <v>#N/A</v>
      </c>
      <c r="D94" s="22" t="e">
        <f t="shared" si="11"/>
        <v>#N/A</v>
      </c>
      <c r="E94" s="22" t="e">
        <f t="shared" si="8"/>
        <v>#N/A</v>
      </c>
      <c r="F94" s="23" t="e">
        <f t="shared" si="12"/>
        <v>#N/A</v>
      </c>
      <c r="G94" s="23" t="e">
        <f>SUM(F94:F$127)</f>
        <v>#N/A</v>
      </c>
      <c r="H94" s="23" t="e">
        <f>SUM(G94:$G$127)</f>
        <v>#N/A</v>
      </c>
      <c r="I94" s="23" t="e">
        <f t="shared" si="13"/>
        <v>#N/A</v>
      </c>
      <c r="J94" s="23" t="e">
        <f>SUM(I94:I$127)</f>
        <v>#N/A</v>
      </c>
      <c r="K94" s="23" t="e">
        <f>SUM(J94:J$127)</f>
        <v>#N/A</v>
      </c>
      <c r="L94" s="24" t="e">
        <f t="shared" si="9"/>
        <v>#N/A</v>
      </c>
    </row>
    <row r="95" spans="1:12" x14ac:dyDescent="0.25">
      <c r="A95" s="20">
        <f t="shared" si="10"/>
        <v>89</v>
      </c>
      <c r="B95" s="21" t="e">
        <f>VLOOKUP(A95,'qx''ler'!$1:$1048576,MATCH(komutasyon_tablo!$A$3,'qx''ler'!$1:$1,0),FALSE)</f>
        <v>#N/A</v>
      </c>
      <c r="C95" s="21" t="e">
        <f t="shared" si="7"/>
        <v>#N/A</v>
      </c>
      <c r="D95" s="22" t="e">
        <f t="shared" si="11"/>
        <v>#N/A</v>
      </c>
      <c r="E95" s="22" t="e">
        <f t="shared" si="8"/>
        <v>#N/A</v>
      </c>
      <c r="F95" s="23" t="e">
        <f t="shared" si="12"/>
        <v>#N/A</v>
      </c>
      <c r="G95" s="23" t="e">
        <f>SUM(F95:F$127)</f>
        <v>#N/A</v>
      </c>
      <c r="H95" s="23" t="e">
        <f>SUM(G95:$G$127)</f>
        <v>#N/A</v>
      </c>
      <c r="I95" s="23" t="e">
        <f t="shared" si="13"/>
        <v>#N/A</v>
      </c>
      <c r="J95" s="23" t="e">
        <f>SUM(I95:I$127)</f>
        <v>#N/A</v>
      </c>
      <c r="K95" s="23" t="e">
        <f>SUM(J95:J$127)</f>
        <v>#N/A</v>
      </c>
      <c r="L95" s="24" t="e">
        <f t="shared" si="9"/>
        <v>#N/A</v>
      </c>
    </row>
    <row r="96" spans="1:12" x14ac:dyDescent="0.25">
      <c r="A96" s="20">
        <f t="shared" si="10"/>
        <v>90</v>
      </c>
      <c r="B96" s="21" t="e">
        <f>VLOOKUP(A96,'qx''ler'!$1:$1048576,MATCH(komutasyon_tablo!$A$3,'qx''ler'!$1:$1,0),FALSE)</f>
        <v>#N/A</v>
      </c>
      <c r="C96" s="21" t="e">
        <f t="shared" si="7"/>
        <v>#N/A</v>
      </c>
      <c r="D96" s="22" t="e">
        <f t="shared" si="11"/>
        <v>#N/A</v>
      </c>
      <c r="E96" s="22" t="e">
        <f t="shared" si="8"/>
        <v>#N/A</v>
      </c>
      <c r="F96" s="23" t="e">
        <f t="shared" si="12"/>
        <v>#N/A</v>
      </c>
      <c r="G96" s="23" t="e">
        <f>SUM(F96:F$127)</f>
        <v>#N/A</v>
      </c>
      <c r="H96" s="23" t="e">
        <f>SUM(G96:$G$127)</f>
        <v>#N/A</v>
      </c>
      <c r="I96" s="23" t="e">
        <f t="shared" si="13"/>
        <v>#N/A</v>
      </c>
      <c r="J96" s="23" t="e">
        <f>SUM(I96:I$127)</f>
        <v>#N/A</v>
      </c>
      <c r="K96" s="23" t="e">
        <f>SUM(J96:J$127)</f>
        <v>#N/A</v>
      </c>
      <c r="L96" s="24" t="e">
        <f t="shared" si="9"/>
        <v>#N/A</v>
      </c>
    </row>
    <row r="97" spans="1:12" x14ac:dyDescent="0.25">
      <c r="A97" s="20">
        <f t="shared" si="10"/>
        <v>91</v>
      </c>
      <c r="B97" s="21" t="e">
        <f>VLOOKUP(A97,'qx''ler'!$1:$1048576,MATCH(komutasyon_tablo!$A$3,'qx''ler'!$1:$1,0),FALSE)</f>
        <v>#N/A</v>
      </c>
      <c r="C97" s="21" t="e">
        <f t="shared" si="7"/>
        <v>#N/A</v>
      </c>
      <c r="D97" s="22" t="e">
        <f t="shared" si="11"/>
        <v>#N/A</v>
      </c>
      <c r="E97" s="22" t="e">
        <f t="shared" si="8"/>
        <v>#N/A</v>
      </c>
      <c r="F97" s="23" t="e">
        <f t="shared" si="12"/>
        <v>#N/A</v>
      </c>
      <c r="G97" s="23" t="e">
        <f>SUM(F97:F$127)</f>
        <v>#N/A</v>
      </c>
      <c r="H97" s="23" t="e">
        <f>SUM(G97:$G$127)</f>
        <v>#N/A</v>
      </c>
      <c r="I97" s="23" t="e">
        <f t="shared" si="13"/>
        <v>#N/A</v>
      </c>
      <c r="J97" s="23" t="e">
        <f>SUM(I97:I$127)</f>
        <v>#N/A</v>
      </c>
      <c r="K97" s="23" t="e">
        <f>SUM(J97:J$127)</f>
        <v>#N/A</v>
      </c>
      <c r="L97" s="24" t="e">
        <f t="shared" si="9"/>
        <v>#N/A</v>
      </c>
    </row>
    <row r="98" spans="1:12" x14ac:dyDescent="0.25">
      <c r="A98" s="20">
        <f t="shared" si="10"/>
        <v>92</v>
      </c>
      <c r="B98" s="21" t="e">
        <f>VLOOKUP(A98,'qx''ler'!$1:$1048576,MATCH(komutasyon_tablo!$A$3,'qx''ler'!$1:$1,0),FALSE)</f>
        <v>#N/A</v>
      </c>
      <c r="C98" s="21" t="e">
        <f t="shared" si="7"/>
        <v>#N/A</v>
      </c>
      <c r="D98" s="22" t="e">
        <f t="shared" si="11"/>
        <v>#N/A</v>
      </c>
      <c r="E98" s="22" t="e">
        <f t="shared" si="8"/>
        <v>#N/A</v>
      </c>
      <c r="F98" s="23" t="e">
        <f t="shared" si="12"/>
        <v>#N/A</v>
      </c>
      <c r="G98" s="23" t="e">
        <f>SUM(F98:F$127)</f>
        <v>#N/A</v>
      </c>
      <c r="H98" s="23" t="e">
        <f>SUM(G98:$G$127)</f>
        <v>#N/A</v>
      </c>
      <c r="I98" s="23" t="e">
        <f t="shared" si="13"/>
        <v>#N/A</v>
      </c>
      <c r="J98" s="23" t="e">
        <f>SUM(I98:I$127)</f>
        <v>#N/A</v>
      </c>
      <c r="K98" s="23" t="e">
        <f>SUM(J98:J$127)</f>
        <v>#N/A</v>
      </c>
      <c r="L98" s="24" t="e">
        <f t="shared" si="9"/>
        <v>#N/A</v>
      </c>
    </row>
    <row r="99" spans="1:12" x14ac:dyDescent="0.25">
      <c r="A99" s="20">
        <f t="shared" si="10"/>
        <v>93</v>
      </c>
      <c r="B99" s="21" t="e">
        <f>VLOOKUP(A99,'qx''ler'!$1:$1048576,MATCH(komutasyon_tablo!$A$3,'qx''ler'!$1:$1,0),FALSE)</f>
        <v>#N/A</v>
      </c>
      <c r="C99" s="21" t="e">
        <f t="shared" si="7"/>
        <v>#N/A</v>
      </c>
      <c r="D99" s="22" t="e">
        <f t="shared" si="11"/>
        <v>#N/A</v>
      </c>
      <c r="E99" s="22" t="e">
        <f t="shared" si="8"/>
        <v>#N/A</v>
      </c>
      <c r="F99" s="23" t="e">
        <f t="shared" si="12"/>
        <v>#N/A</v>
      </c>
      <c r="G99" s="23" t="e">
        <f>SUM(F99:F$127)</f>
        <v>#N/A</v>
      </c>
      <c r="H99" s="23" t="e">
        <f>SUM(G99:$G$127)</f>
        <v>#N/A</v>
      </c>
      <c r="I99" s="23" t="e">
        <f t="shared" si="13"/>
        <v>#N/A</v>
      </c>
      <c r="J99" s="23" t="e">
        <f>SUM(I99:I$127)</f>
        <v>#N/A</v>
      </c>
      <c r="K99" s="23" t="e">
        <f>SUM(J99:J$127)</f>
        <v>#N/A</v>
      </c>
      <c r="L99" s="24" t="e">
        <f t="shared" si="9"/>
        <v>#N/A</v>
      </c>
    </row>
    <row r="100" spans="1:12" x14ac:dyDescent="0.25">
      <c r="A100" s="20">
        <f t="shared" si="10"/>
        <v>94</v>
      </c>
      <c r="B100" s="21" t="e">
        <f>VLOOKUP(A100,'qx''ler'!$1:$1048576,MATCH(komutasyon_tablo!$A$3,'qx''ler'!$1:$1,0),FALSE)</f>
        <v>#N/A</v>
      </c>
      <c r="C100" s="21" t="e">
        <f t="shared" si="7"/>
        <v>#N/A</v>
      </c>
      <c r="D100" s="22" t="e">
        <f t="shared" si="11"/>
        <v>#N/A</v>
      </c>
      <c r="E100" s="22" t="e">
        <f t="shared" si="8"/>
        <v>#N/A</v>
      </c>
      <c r="F100" s="23" t="e">
        <f t="shared" si="12"/>
        <v>#N/A</v>
      </c>
      <c r="G100" s="23" t="e">
        <f>SUM(F100:F$127)</f>
        <v>#N/A</v>
      </c>
      <c r="H100" s="23" t="e">
        <f>SUM(G100:$G$127)</f>
        <v>#N/A</v>
      </c>
      <c r="I100" s="23" t="e">
        <f t="shared" si="13"/>
        <v>#N/A</v>
      </c>
      <c r="J100" s="23" t="e">
        <f>SUM(I100:I$127)</f>
        <v>#N/A</v>
      </c>
      <c r="K100" s="23" t="e">
        <f>SUM(J100:J$127)</f>
        <v>#N/A</v>
      </c>
      <c r="L100" s="24" t="e">
        <f t="shared" si="9"/>
        <v>#N/A</v>
      </c>
    </row>
    <row r="101" spans="1:12" x14ac:dyDescent="0.25">
      <c r="A101" s="20">
        <f t="shared" si="10"/>
        <v>95</v>
      </c>
      <c r="B101" s="21" t="e">
        <f>VLOOKUP(A101,'qx''ler'!$1:$1048576,MATCH(komutasyon_tablo!$A$3,'qx''ler'!$1:$1,0),FALSE)</f>
        <v>#N/A</v>
      </c>
      <c r="C101" s="21" t="e">
        <f t="shared" si="7"/>
        <v>#N/A</v>
      </c>
      <c r="D101" s="22" t="e">
        <f t="shared" si="11"/>
        <v>#N/A</v>
      </c>
      <c r="E101" s="22" t="e">
        <f t="shared" si="8"/>
        <v>#N/A</v>
      </c>
      <c r="F101" s="23" t="e">
        <f t="shared" si="12"/>
        <v>#N/A</v>
      </c>
      <c r="G101" s="23" t="e">
        <f>SUM(F101:F$127)</f>
        <v>#N/A</v>
      </c>
      <c r="H101" s="23" t="e">
        <f>SUM(G101:$G$127)</f>
        <v>#N/A</v>
      </c>
      <c r="I101" s="23" t="e">
        <f t="shared" si="13"/>
        <v>#N/A</v>
      </c>
      <c r="J101" s="23" t="e">
        <f>SUM(I101:I$127)</f>
        <v>#N/A</v>
      </c>
      <c r="K101" s="23" t="e">
        <f>SUM(J101:J$127)</f>
        <v>#N/A</v>
      </c>
      <c r="L101" s="24" t="e">
        <f t="shared" si="9"/>
        <v>#N/A</v>
      </c>
    </row>
    <row r="102" spans="1:12" x14ac:dyDescent="0.25">
      <c r="A102" s="20">
        <f t="shared" si="10"/>
        <v>96</v>
      </c>
      <c r="B102" s="21" t="e">
        <f>VLOOKUP(A102,'qx''ler'!$1:$1048576,MATCH(komutasyon_tablo!$A$3,'qx''ler'!$1:$1,0),FALSE)</f>
        <v>#N/A</v>
      </c>
      <c r="C102" s="21" t="e">
        <f>1-B102</f>
        <v>#N/A</v>
      </c>
      <c r="D102" s="22" t="e">
        <f t="shared" si="11"/>
        <v>#N/A</v>
      </c>
      <c r="E102" s="22" t="e">
        <f>D102*B102</f>
        <v>#N/A</v>
      </c>
      <c r="F102" s="23" t="e">
        <f t="shared" si="12"/>
        <v>#N/A</v>
      </c>
      <c r="G102" s="23" t="e">
        <f>SUM(F102:F$127)</f>
        <v>#N/A</v>
      </c>
      <c r="H102" s="23" t="e">
        <f>SUM(G102:$G$127)</f>
        <v>#N/A</v>
      </c>
      <c r="I102" s="23" t="e">
        <f t="shared" si="13"/>
        <v>#N/A</v>
      </c>
      <c r="J102" s="23" t="e">
        <f>SUM(I102:I$127)</f>
        <v>#N/A</v>
      </c>
      <c r="K102" s="23" t="e">
        <f>SUM(J102:J$127)</f>
        <v>#N/A</v>
      </c>
      <c r="L102" s="24" t="e">
        <f t="shared" si="9"/>
        <v>#N/A</v>
      </c>
    </row>
    <row r="103" spans="1:12" x14ac:dyDescent="0.25">
      <c r="A103" s="20">
        <f t="shared" si="10"/>
        <v>97</v>
      </c>
      <c r="B103" s="21" t="e">
        <f>VLOOKUP(A103,'qx''ler'!$1:$1048576,MATCH(komutasyon_tablo!$A$3,'qx''ler'!$1:$1,0),FALSE)</f>
        <v>#N/A</v>
      </c>
      <c r="C103" s="21" t="e">
        <f>1-B103</f>
        <v>#N/A</v>
      </c>
      <c r="D103" s="22" t="e">
        <f t="shared" si="11"/>
        <v>#N/A</v>
      </c>
      <c r="E103" s="22" t="e">
        <f>D103*B103</f>
        <v>#N/A</v>
      </c>
      <c r="F103" s="23" t="e">
        <f t="shared" si="12"/>
        <v>#N/A</v>
      </c>
      <c r="G103" s="23" t="e">
        <f>SUM(F103:F$127)</f>
        <v>#N/A</v>
      </c>
      <c r="H103" s="23" t="e">
        <f>SUM(G103:$G$127)</f>
        <v>#N/A</v>
      </c>
      <c r="I103" s="23" t="e">
        <f t="shared" si="13"/>
        <v>#N/A</v>
      </c>
      <c r="J103" s="23" t="e">
        <f>SUM(I103:I$127)</f>
        <v>#N/A</v>
      </c>
      <c r="K103" s="23" t="e">
        <f>SUM(J103:J$127)</f>
        <v>#N/A</v>
      </c>
      <c r="L103" s="24" t="e">
        <f t="shared" si="9"/>
        <v>#N/A</v>
      </c>
    </row>
    <row r="104" spans="1:12" x14ac:dyDescent="0.25">
      <c r="A104" s="20">
        <f t="shared" si="10"/>
        <v>98</v>
      </c>
      <c r="B104" s="21" t="e">
        <f>VLOOKUP(A104,'qx''ler'!$1:$1048576,MATCH(komutasyon_tablo!$A$3,'qx''ler'!$1:$1,0),FALSE)</f>
        <v>#N/A</v>
      </c>
      <c r="C104" s="21" t="e">
        <f>1-B104</f>
        <v>#N/A</v>
      </c>
      <c r="D104" s="22" t="e">
        <f t="shared" si="11"/>
        <v>#N/A</v>
      </c>
      <c r="E104" s="22" t="e">
        <f>D104*B104</f>
        <v>#N/A</v>
      </c>
      <c r="F104" s="23" t="e">
        <f t="shared" si="12"/>
        <v>#N/A</v>
      </c>
      <c r="G104" s="23" t="e">
        <f>SUM(F104:F$127)</f>
        <v>#N/A</v>
      </c>
      <c r="H104" s="23" t="e">
        <f>SUM(G104:$G$127)</f>
        <v>#N/A</v>
      </c>
      <c r="I104" s="23" t="e">
        <f t="shared" si="13"/>
        <v>#N/A</v>
      </c>
      <c r="J104" s="23" t="e">
        <f>SUM(I104:I$127)</f>
        <v>#N/A</v>
      </c>
      <c r="K104" s="23" t="e">
        <f>SUM(J104:J$127)</f>
        <v>#N/A</v>
      </c>
      <c r="L104" s="24" t="e">
        <f t="shared" si="9"/>
        <v>#N/A</v>
      </c>
    </row>
    <row r="105" spans="1:12" x14ac:dyDescent="0.25">
      <c r="A105" s="20">
        <f t="shared" si="10"/>
        <v>99</v>
      </c>
      <c r="B105" s="21" t="e">
        <f>VLOOKUP(A105,'qx''ler'!$1:$1048576,MATCH(komutasyon_tablo!$A$3,'qx''ler'!$1:$1,0),FALSE)</f>
        <v>#N/A</v>
      </c>
      <c r="C105" s="21" t="e">
        <f>1-B105</f>
        <v>#N/A</v>
      </c>
      <c r="D105" s="22" t="e">
        <f t="shared" si="11"/>
        <v>#N/A</v>
      </c>
      <c r="E105" s="22" t="e">
        <f>D105*B105</f>
        <v>#N/A</v>
      </c>
      <c r="F105" s="23" t="e">
        <f t="shared" si="12"/>
        <v>#N/A</v>
      </c>
      <c r="G105" s="23" t="e">
        <f>SUM(F105:F$127)</f>
        <v>#N/A</v>
      </c>
      <c r="H105" s="23" t="e">
        <f>SUM(G105:$G$127)</f>
        <v>#N/A</v>
      </c>
      <c r="I105" s="23" t="e">
        <f t="shared" si="13"/>
        <v>#N/A</v>
      </c>
      <c r="J105" s="23" t="e">
        <f>SUM(I105:I$127)</f>
        <v>#N/A</v>
      </c>
      <c r="K105" s="23" t="e">
        <f>SUM(J105:J$127)</f>
        <v>#N/A</v>
      </c>
      <c r="L105" s="24" t="e">
        <f t="shared" si="9"/>
        <v>#N/A</v>
      </c>
    </row>
    <row r="106" spans="1:12" x14ac:dyDescent="0.25">
      <c r="A106" s="20">
        <f t="shared" si="10"/>
        <v>100</v>
      </c>
      <c r="B106" s="21" t="e">
        <f>VLOOKUP(A106,'qx''ler'!$1:$1048576,MATCH(komutasyon_tablo!$A$3,'qx''ler'!$1:$1,0),FALSE)</f>
        <v>#N/A</v>
      </c>
      <c r="C106" s="21" t="e">
        <f t="shared" ref="C106:C127" si="14">1-B106</f>
        <v>#N/A</v>
      </c>
      <c r="D106" s="22" t="e">
        <f t="shared" si="11"/>
        <v>#N/A</v>
      </c>
      <c r="E106" s="22" t="e">
        <f t="shared" ref="E106:E122" si="15">D106*B106</f>
        <v>#N/A</v>
      </c>
      <c r="F106" s="23" t="e">
        <f t="shared" si="12"/>
        <v>#N/A</v>
      </c>
      <c r="G106" s="23" t="e">
        <f>SUM(F106:F$127)</f>
        <v>#N/A</v>
      </c>
      <c r="H106" s="23" t="e">
        <f>SUM(G106:$G$127)</f>
        <v>#N/A</v>
      </c>
      <c r="I106" s="23" t="e">
        <f t="shared" si="13"/>
        <v>#N/A</v>
      </c>
      <c r="J106" s="23" t="e">
        <f>SUM(I106:I$127)</f>
        <v>#N/A</v>
      </c>
      <c r="K106" s="23" t="e">
        <f>SUM(J106:J$127)</f>
        <v>#N/A</v>
      </c>
      <c r="L106" s="24" t="e">
        <f t="shared" si="9"/>
        <v>#N/A</v>
      </c>
    </row>
    <row r="107" spans="1:12" x14ac:dyDescent="0.25">
      <c r="A107" s="20">
        <f t="shared" si="10"/>
        <v>101</v>
      </c>
      <c r="B107" s="21" t="e">
        <f>VLOOKUP(A107,'qx''ler'!$1:$1048576,MATCH(komutasyon_tablo!$A$3,'qx''ler'!$1:$1,0),FALSE)</f>
        <v>#N/A</v>
      </c>
      <c r="C107" s="21" t="e">
        <f t="shared" si="14"/>
        <v>#N/A</v>
      </c>
      <c r="D107" s="22" t="e">
        <f t="shared" si="11"/>
        <v>#N/A</v>
      </c>
      <c r="E107" s="22" t="e">
        <f t="shared" si="15"/>
        <v>#N/A</v>
      </c>
      <c r="F107" s="23" t="e">
        <f t="shared" si="12"/>
        <v>#N/A</v>
      </c>
      <c r="G107" s="23" t="e">
        <f>SUM(F107:F$127)</f>
        <v>#N/A</v>
      </c>
      <c r="H107" s="23" t="e">
        <f>SUM(G107:$G$127)</f>
        <v>#N/A</v>
      </c>
      <c r="I107" s="23" t="e">
        <f t="shared" si="13"/>
        <v>#N/A</v>
      </c>
      <c r="J107" s="23" t="e">
        <f>SUM(I107:I$127)</f>
        <v>#N/A</v>
      </c>
      <c r="K107" s="23" t="e">
        <f>SUM(J107:J$127)</f>
        <v>#N/A</v>
      </c>
      <c r="L107" s="24" t="e">
        <f t="shared" si="9"/>
        <v>#N/A</v>
      </c>
    </row>
    <row r="108" spans="1:12" x14ac:dyDescent="0.25">
      <c r="A108" s="20">
        <f t="shared" si="10"/>
        <v>102</v>
      </c>
      <c r="B108" s="21" t="e">
        <f>VLOOKUP(A108,'qx''ler'!$1:$1048576,MATCH(komutasyon_tablo!$A$3,'qx''ler'!$1:$1,0),FALSE)</f>
        <v>#N/A</v>
      </c>
      <c r="C108" s="21" t="e">
        <f t="shared" si="14"/>
        <v>#N/A</v>
      </c>
      <c r="D108" s="22" t="e">
        <f t="shared" si="11"/>
        <v>#N/A</v>
      </c>
      <c r="E108" s="22" t="e">
        <f t="shared" si="15"/>
        <v>#N/A</v>
      </c>
      <c r="F108" s="23" t="e">
        <f t="shared" si="12"/>
        <v>#N/A</v>
      </c>
      <c r="G108" s="23" t="e">
        <f>SUM(F108:F$127)</f>
        <v>#N/A</v>
      </c>
      <c r="H108" s="23" t="e">
        <f>SUM(G108:$G$127)</f>
        <v>#N/A</v>
      </c>
      <c r="I108" s="23" t="e">
        <f t="shared" si="13"/>
        <v>#N/A</v>
      </c>
      <c r="J108" s="23" t="e">
        <f>SUM(I108:I$127)</f>
        <v>#N/A</v>
      </c>
      <c r="K108" s="23" t="e">
        <f>SUM(J108:J$127)</f>
        <v>#N/A</v>
      </c>
      <c r="L108" s="24" t="e">
        <f t="shared" si="9"/>
        <v>#N/A</v>
      </c>
    </row>
    <row r="109" spans="1:12" x14ac:dyDescent="0.25">
      <c r="A109" s="20">
        <f t="shared" si="10"/>
        <v>103</v>
      </c>
      <c r="B109" s="21" t="e">
        <f>VLOOKUP(A109,'qx''ler'!$1:$1048576,MATCH(komutasyon_tablo!$A$3,'qx''ler'!$1:$1,0),FALSE)</f>
        <v>#N/A</v>
      </c>
      <c r="C109" s="21" t="e">
        <f t="shared" si="14"/>
        <v>#N/A</v>
      </c>
      <c r="D109" s="22" t="e">
        <f t="shared" si="11"/>
        <v>#N/A</v>
      </c>
      <c r="E109" s="22" t="e">
        <f t="shared" si="15"/>
        <v>#N/A</v>
      </c>
      <c r="F109" s="23" t="e">
        <f t="shared" si="12"/>
        <v>#N/A</v>
      </c>
      <c r="G109" s="23" t="e">
        <f>SUM(F109:F$127)</f>
        <v>#N/A</v>
      </c>
      <c r="H109" s="23" t="e">
        <f>SUM(G109:$G$127)</f>
        <v>#N/A</v>
      </c>
      <c r="I109" s="23" t="e">
        <f t="shared" si="13"/>
        <v>#N/A</v>
      </c>
      <c r="J109" s="23" t="e">
        <f>SUM(I109:I$127)</f>
        <v>#N/A</v>
      </c>
      <c r="K109" s="23" t="e">
        <f>SUM(J109:J$127)</f>
        <v>#N/A</v>
      </c>
      <c r="L109" s="24" t="e">
        <f t="shared" si="9"/>
        <v>#N/A</v>
      </c>
    </row>
    <row r="110" spans="1:12" x14ac:dyDescent="0.25">
      <c r="A110" s="20">
        <f t="shared" si="10"/>
        <v>104</v>
      </c>
      <c r="B110" s="21" t="e">
        <f>VLOOKUP(A110,'qx''ler'!$1:$1048576,MATCH(komutasyon_tablo!$A$3,'qx''ler'!$1:$1,0),FALSE)</f>
        <v>#N/A</v>
      </c>
      <c r="C110" s="21" t="e">
        <f t="shared" si="14"/>
        <v>#N/A</v>
      </c>
      <c r="D110" s="22" t="e">
        <f t="shared" si="11"/>
        <v>#N/A</v>
      </c>
      <c r="E110" s="22" t="e">
        <f t="shared" si="15"/>
        <v>#N/A</v>
      </c>
      <c r="F110" s="23" t="e">
        <f t="shared" si="12"/>
        <v>#N/A</v>
      </c>
      <c r="G110" s="23" t="e">
        <f>SUM(F110:F$127)</f>
        <v>#N/A</v>
      </c>
      <c r="H110" s="23" t="e">
        <f>SUM(G110:$G$127)</f>
        <v>#N/A</v>
      </c>
      <c r="I110" s="23" t="e">
        <f t="shared" si="13"/>
        <v>#N/A</v>
      </c>
      <c r="J110" s="23" t="e">
        <f>SUM(I110:I$127)</f>
        <v>#N/A</v>
      </c>
      <c r="K110" s="23" t="e">
        <f>SUM(J110:J$127)</f>
        <v>#N/A</v>
      </c>
      <c r="L110" s="24" t="e">
        <f t="shared" si="9"/>
        <v>#N/A</v>
      </c>
    </row>
    <row r="111" spans="1:12" x14ac:dyDescent="0.25">
      <c r="A111" s="20">
        <f t="shared" si="10"/>
        <v>105</v>
      </c>
      <c r="B111" s="21" t="e">
        <f>VLOOKUP(A111,'qx''ler'!$1:$1048576,MATCH(komutasyon_tablo!$A$3,'qx''ler'!$1:$1,0),FALSE)</f>
        <v>#N/A</v>
      </c>
      <c r="C111" s="21" t="e">
        <f t="shared" si="14"/>
        <v>#N/A</v>
      </c>
      <c r="D111" s="22" t="e">
        <f t="shared" si="11"/>
        <v>#N/A</v>
      </c>
      <c r="E111" s="22" t="e">
        <f t="shared" si="15"/>
        <v>#N/A</v>
      </c>
      <c r="F111" s="23" t="e">
        <f t="shared" si="12"/>
        <v>#N/A</v>
      </c>
      <c r="G111" s="23" t="e">
        <f>SUM(F111:F$127)</f>
        <v>#N/A</v>
      </c>
      <c r="H111" s="23" t="e">
        <f>SUM(G111:$G$127)</f>
        <v>#N/A</v>
      </c>
      <c r="I111" s="23" t="e">
        <f t="shared" si="13"/>
        <v>#N/A</v>
      </c>
      <c r="J111" s="23" t="e">
        <f>SUM(I111:I$127)</f>
        <v>#N/A</v>
      </c>
      <c r="K111" s="23" t="e">
        <f>SUM(J111:J$127)</f>
        <v>#N/A</v>
      </c>
      <c r="L111" s="24" t="e">
        <f t="shared" si="9"/>
        <v>#N/A</v>
      </c>
    </row>
    <row r="112" spans="1:12" x14ac:dyDescent="0.25">
      <c r="A112" s="20">
        <f t="shared" si="10"/>
        <v>106</v>
      </c>
      <c r="B112" s="21" t="e">
        <f>VLOOKUP(A112,'qx''ler'!$1:$1048576,MATCH(komutasyon_tablo!$A$3,'qx''ler'!$1:$1,0),FALSE)</f>
        <v>#N/A</v>
      </c>
      <c r="C112" s="21" t="e">
        <f t="shared" si="14"/>
        <v>#N/A</v>
      </c>
      <c r="D112" s="22" t="e">
        <f t="shared" si="11"/>
        <v>#N/A</v>
      </c>
      <c r="E112" s="22" t="e">
        <f t="shared" si="15"/>
        <v>#N/A</v>
      </c>
      <c r="F112" s="23" t="e">
        <f t="shared" si="12"/>
        <v>#N/A</v>
      </c>
      <c r="G112" s="23" t="e">
        <f>SUM(F112:F$127)</f>
        <v>#N/A</v>
      </c>
      <c r="H112" s="23" t="e">
        <f>SUM(G112:$G$127)</f>
        <v>#N/A</v>
      </c>
      <c r="I112" s="23" t="e">
        <f t="shared" si="13"/>
        <v>#N/A</v>
      </c>
      <c r="J112" s="23" t="e">
        <f>SUM(I112:I$127)</f>
        <v>#N/A</v>
      </c>
      <c r="K112" s="23" t="e">
        <f>SUM(J112:J$127)</f>
        <v>#N/A</v>
      </c>
      <c r="L112" s="24" t="e">
        <f t="shared" si="9"/>
        <v>#N/A</v>
      </c>
    </row>
    <row r="113" spans="1:12" x14ac:dyDescent="0.25">
      <c r="A113" s="20">
        <f t="shared" si="10"/>
        <v>107</v>
      </c>
      <c r="B113" s="21" t="e">
        <f>VLOOKUP(A113,'qx''ler'!$1:$1048576,MATCH(komutasyon_tablo!$A$3,'qx''ler'!$1:$1,0),FALSE)</f>
        <v>#N/A</v>
      </c>
      <c r="C113" s="21" t="e">
        <f t="shared" si="14"/>
        <v>#N/A</v>
      </c>
      <c r="D113" s="22" t="e">
        <f t="shared" si="11"/>
        <v>#N/A</v>
      </c>
      <c r="E113" s="22" t="e">
        <f t="shared" si="15"/>
        <v>#N/A</v>
      </c>
      <c r="F113" s="23" t="e">
        <f t="shared" si="12"/>
        <v>#N/A</v>
      </c>
      <c r="G113" s="23" t="e">
        <f>SUM(F113:F$127)</f>
        <v>#N/A</v>
      </c>
      <c r="H113" s="23" t="e">
        <f>SUM(G113:$G$127)</f>
        <v>#N/A</v>
      </c>
      <c r="I113" s="23" t="e">
        <f t="shared" si="13"/>
        <v>#N/A</v>
      </c>
      <c r="J113" s="23" t="e">
        <f>SUM(I113:I$127)</f>
        <v>#N/A</v>
      </c>
      <c r="K113" s="23" t="e">
        <f>SUM(J113:J$127)</f>
        <v>#N/A</v>
      </c>
      <c r="L113" s="24" t="e">
        <f t="shared" si="9"/>
        <v>#N/A</v>
      </c>
    </row>
    <row r="114" spans="1:12" x14ac:dyDescent="0.25">
      <c r="A114" s="20">
        <f t="shared" si="10"/>
        <v>108</v>
      </c>
      <c r="B114" s="21" t="e">
        <f>VLOOKUP(A114,'qx''ler'!$1:$1048576,MATCH(komutasyon_tablo!$A$3,'qx''ler'!$1:$1,0),FALSE)</f>
        <v>#N/A</v>
      </c>
      <c r="C114" s="21" t="e">
        <f t="shared" si="14"/>
        <v>#N/A</v>
      </c>
      <c r="D114" s="22" t="e">
        <f t="shared" si="11"/>
        <v>#N/A</v>
      </c>
      <c r="E114" s="22" t="e">
        <f t="shared" si="15"/>
        <v>#N/A</v>
      </c>
      <c r="F114" s="23" t="e">
        <f t="shared" si="12"/>
        <v>#N/A</v>
      </c>
      <c r="G114" s="23" t="e">
        <f>SUM(F114:F$127)</f>
        <v>#N/A</v>
      </c>
      <c r="H114" s="23" t="e">
        <f>SUM(G114:$G$127)</f>
        <v>#N/A</v>
      </c>
      <c r="I114" s="23" t="e">
        <f t="shared" si="13"/>
        <v>#N/A</v>
      </c>
      <c r="J114" s="23" t="e">
        <f>SUM(I114:I$127)</f>
        <v>#N/A</v>
      </c>
      <c r="K114" s="23" t="e">
        <f>SUM(J114:J$127)</f>
        <v>#N/A</v>
      </c>
      <c r="L114" s="24" t="e">
        <f t="shared" si="9"/>
        <v>#N/A</v>
      </c>
    </row>
    <row r="115" spans="1:12" x14ac:dyDescent="0.25">
      <c r="A115" s="20">
        <f t="shared" si="10"/>
        <v>109</v>
      </c>
      <c r="B115" s="21" t="e">
        <f>VLOOKUP(A115,'qx''ler'!$1:$1048576,MATCH(komutasyon_tablo!$A$3,'qx''ler'!$1:$1,0),FALSE)</f>
        <v>#N/A</v>
      </c>
      <c r="C115" s="21" t="e">
        <f t="shared" si="14"/>
        <v>#N/A</v>
      </c>
      <c r="D115" s="22" t="e">
        <f t="shared" si="11"/>
        <v>#N/A</v>
      </c>
      <c r="E115" s="22" t="e">
        <f t="shared" si="15"/>
        <v>#N/A</v>
      </c>
      <c r="F115" s="23" t="e">
        <f t="shared" si="12"/>
        <v>#N/A</v>
      </c>
      <c r="G115" s="23" t="e">
        <f>SUM(F115:F$127)</f>
        <v>#N/A</v>
      </c>
      <c r="H115" s="23" t="e">
        <f>SUM(G115:$G$127)</f>
        <v>#N/A</v>
      </c>
      <c r="I115" s="23" t="e">
        <f t="shared" si="13"/>
        <v>#N/A</v>
      </c>
      <c r="J115" s="23" t="e">
        <f>SUM(I115:I$127)</f>
        <v>#N/A</v>
      </c>
      <c r="K115" s="23" t="e">
        <f>SUM(J115:J$127)</f>
        <v>#N/A</v>
      </c>
      <c r="L115" s="24" t="e">
        <f t="shared" si="9"/>
        <v>#N/A</v>
      </c>
    </row>
    <row r="116" spans="1:12" x14ac:dyDescent="0.25">
      <c r="A116" s="20">
        <f t="shared" si="10"/>
        <v>110</v>
      </c>
      <c r="B116" s="21" t="e">
        <f>VLOOKUP(A116,'qx''ler'!$1:$1048576,MATCH(komutasyon_tablo!$A$3,'qx''ler'!$1:$1,0),FALSE)</f>
        <v>#N/A</v>
      </c>
      <c r="C116" s="21" t="e">
        <f t="shared" si="14"/>
        <v>#N/A</v>
      </c>
      <c r="D116" s="22" t="e">
        <f t="shared" si="11"/>
        <v>#N/A</v>
      </c>
      <c r="E116" s="22" t="e">
        <f t="shared" si="15"/>
        <v>#N/A</v>
      </c>
      <c r="F116" s="23" t="e">
        <f t="shared" si="12"/>
        <v>#N/A</v>
      </c>
      <c r="G116" s="23" t="e">
        <f>SUM(F116:F$127)</f>
        <v>#N/A</v>
      </c>
      <c r="H116" s="23" t="e">
        <f>SUM(G116:$G$127)</f>
        <v>#N/A</v>
      </c>
      <c r="I116" s="23" t="e">
        <f t="shared" si="13"/>
        <v>#N/A</v>
      </c>
      <c r="J116" s="23" t="e">
        <f>SUM(I116:I$127)</f>
        <v>#N/A</v>
      </c>
      <c r="K116" s="23" t="e">
        <f>SUM(J116:J$127)</f>
        <v>#N/A</v>
      </c>
      <c r="L116" s="24" t="e">
        <f t="shared" si="9"/>
        <v>#N/A</v>
      </c>
    </row>
    <row r="117" spans="1:12" x14ac:dyDescent="0.25">
      <c r="A117" s="20">
        <f t="shared" si="10"/>
        <v>111</v>
      </c>
      <c r="B117" s="21" t="e">
        <f>VLOOKUP(A117,'qx''ler'!$1:$1048576,MATCH(komutasyon_tablo!$A$3,'qx''ler'!$1:$1,0),FALSE)</f>
        <v>#N/A</v>
      </c>
      <c r="C117" s="21" t="e">
        <f t="shared" si="14"/>
        <v>#N/A</v>
      </c>
      <c r="D117" s="22" t="e">
        <f t="shared" si="11"/>
        <v>#N/A</v>
      </c>
      <c r="E117" s="22" t="e">
        <f t="shared" si="15"/>
        <v>#N/A</v>
      </c>
      <c r="F117" s="23" t="e">
        <f t="shared" si="12"/>
        <v>#N/A</v>
      </c>
      <c r="G117" s="23" t="e">
        <f>SUM(F117:F$127)</f>
        <v>#N/A</v>
      </c>
      <c r="H117" s="23" t="e">
        <f>SUM(G117:$G$127)</f>
        <v>#N/A</v>
      </c>
      <c r="I117" s="23" t="e">
        <f t="shared" si="13"/>
        <v>#N/A</v>
      </c>
      <c r="J117" s="23" t="e">
        <f>SUM(I117:I$127)</f>
        <v>#N/A</v>
      </c>
      <c r="K117" s="23" t="e">
        <f>SUM(J117:J$127)</f>
        <v>#N/A</v>
      </c>
      <c r="L117" s="24" t="e">
        <f t="shared" si="9"/>
        <v>#N/A</v>
      </c>
    </row>
    <row r="118" spans="1:12" x14ac:dyDescent="0.25">
      <c r="A118" s="20">
        <f t="shared" si="10"/>
        <v>112</v>
      </c>
      <c r="B118" s="21" t="e">
        <f>VLOOKUP(A118,'qx''ler'!$1:$1048576,MATCH(komutasyon_tablo!$A$3,'qx''ler'!$1:$1,0),FALSE)</f>
        <v>#N/A</v>
      </c>
      <c r="C118" s="21" t="e">
        <f t="shared" si="14"/>
        <v>#N/A</v>
      </c>
      <c r="D118" s="22" t="e">
        <f t="shared" si="11"/>
        <v>#N/A</v>
      </c>
      <c r="E118" s="22" t="e">
        <f t="shared" si="15"/>
        <v>#N/A</v>
      </c>
      <c r="F118" s="23" t="e">
        <f t="shared" si="12"/>
        <v>#N/A</v>
      </c>
      <c r="G118" s="23" t="e">
        <f>SUM(F118:F$127)</f>
        <v>#N/A</v>
      </c>
      <c r="H118" s="23" t="e">
        <f>SUM(G118:$G$127)</f>
        <v>#N/A</v>
      </c>
      <c r="I118" s="23" t="e">
        <f t="shared" si="13"/>
        <v>#N/A</v>
      </c>
      <c r="J118" s="23" t="e">
        <f>SUM(I118:I$127)</f>
        <v>#N/A</v>
      </c>
      <c r="K118" s="23" t="e">
        <f>SUM(J118:J$127)</f>
        <v>#N/A</v>
      </c>
      <c r="L118" s="24" t="e">
        <f t="shared" si="9"/>
        <v>#N/A</v>
      </c>
    </row>
    <row r="119" spans="1:12" x14ac:dyDescent="0.25">
      <c r="A119" s="20">
        <f t="shared" si="10"/>
        <v>113</v>
      </c>
      <c r="B119" s="21" t="e">
        <f>VLOOKUP(A119,'qx''ler'!$1:$1048576,MATCH(komutasyon_tablo!$A$3,'qx''ler'!$1:$1,0),FALSE)</f>
        <v>#N/A</v>
      </c>
      <c r="C119" s="21" t="e">
        <f t="shared" si="14"/>
        <v>#N/A</v>
      </c>
      <c r="D119" s="22" t="e">
        <f t="shared" si="11"/>
        <v>#N/A</v>
      </c>
      <c r="E119" s="22" t="e">
        <f t="shared" si="15"/>
        <v>#N/A</v>
      </c>
      <c r="F119" s="23" t="e">
        <f t="shared" si="12"/>
        <v>#N/A</v>
      </c>
      <c r="G119" s="23" t="e">
        <f>SUM(F119:F$127)</f>
        <v>#N/A</v>
      </c>
      <c r="H119" s="23" t="e">
        <f>SUM(G119:$G$127)</f>
        <v>#N/A</v>
      </c>
      <c r="I119" s="23" t="e">
        <f t="shared" si="13"/>
        <v>#N/A</v>
      </c>
      <c r="J119" s="23" t="e">
        <f>SUM(I119:I$127)</f>
        <v>#N/A</v>
      </c>
      <c r="K119" s="23" t="e">
        <f>SUM(J119:J$127)</f>
        <v>#N/A</v>
      </c>
      <c r="L119" s="24" t="e">
        <f t="shared" si="9"/>
        <v>#N/A</v>
      </c>
    </row>
    <row r="120" spans="1:12" x14ac:dyDescent="0.25">
      <c r="A120" s="20">
        <f t="shared" si="10"/>
        <v>114</v>
      </c>
      <c r="B120" s="21" t="e">
        <f>VLOOKUP(A120,'qx''ler'!$1:$1048576,MATCH(komutasyon_tablo!$A$3,'qx''ler'!$1:$1,0),FALSE)</f>
        <v>#N/A</v>
      </c>
      <c r="C120" s="21" t="e">
        <f t="shared" si="14"/>
        <v>#N/A</v>
      </c>
      <c r="D120" s="22" t="e">
        <f t="shared" si="11"/>
        <v>#N/A</v>
      </c>
      <c r="E120" s="22" t="e">
        <f t="shared" si="15"/>
        <v>#N/A</v>
      </c>
      <c r="F120" s="23" t="e">
        <f t="shared" si="12"/>
        <v>#N/A</v>
      </c>
      <c r="G120" s="23" t="e">
        <f>SUM(F120:F$127)</f>
        <v>#N/A</v>
      </c>
      <c r="H120" s="23" t="e">
        <f>SUM(G120:$G$127)</f>
        <v>#N/A</v>
      </c>
      <c r="I120" s="23" t="e">
        <f t="shared" si="13"/>
        <v>#N/A</v>
      </c>
      <c r="J120" s="23" t="e">
        <f>SUM(I120:I$127)</f>
        <v>#N/A</v>
      </c>
      <c r="K120" s="23" t="e">
        <f>SUM(J120:J$127)</f>
        <v>#N/A</v>
      </c>
      <c r="L120" s="24" t="e">
        <f t="shared" si="9"/>
        <v>#N/A</v>
      </c>
    </row>
    <row r="121" spans="1:12" x14ac:dyDescent="0.25">
      <c r="A121" s="20">
        <f t="shared" si="10"/>
        <v>115</v>
      </c>
      <c r="B121" s="21" t="e">
        <f>VLOOKUP(A121,'qx''ler'!$1:$1048576,MATCH(komutasyon_tablo!$A$3,'qx''ler'!$1:$1,0),FALSE)</f>
        <v>#N/A</v>
      </c>
      <c r="C121" s="21" t="e">
        <f t="shared" si="14"/>
        <v>#N/A</v>
      </c>
      <c r="D121" s="22" t="e">
        <f t="shared" si="11"/>
        <v>#N/A</v>
      </c>
      <c r="E121" s="22" t="e">
        <f t="shared" si="15"/>
        <v>#N/A</v>
      </c>
      <c r="F121" s="23" t="e">
        <f t="shared" si="12"/>
        <v>#N/A</v>
      </c>
      <c r="G121" s="23" t="e">
        <f>SUM(F121:F$127)</f>
        <v>#N/A</v>
      </c>
      <c r="H121" s="23" t="e">
        <f>SUM(G121:$G$127)</f>
        <v>#N/A</v>
      </c>
      <c r="I121" s="23" t="e">
        <f t="shared" si="13"/>
        <v>#N/A</v>
      </c>
      <c r="J121" s="23" t="e">
        <f>SUM(I121:I$127)</f>
        <v>#N/A</v>
      </c>
      <c r="K121" s="23" t="e">
        <f>SUM(J121:J$127)</f>
        <v>#N/A</v>
      </c>
      <c r="L121" s="24" t="e">
        <f t="shared" si="9"/>
        <v>#N/A</v>
      </c>
    </row>
    <row r="122" spans="1:12" x14ac:dyDescent="0.25">
      <c r="A122" s="20">
        <f t="shared" si="10"/>
        <v>116</v>
      </c>
      <c r="B122" s="21" t="e">
        <f>VLOOKUP(A122,'qx''ler'!$1:$1048576,MATCH(komutasyon_tablo!$A$3,'qx''ler'!$1:$1,0),FALSE)</f>
        <v>#N/A</v>
      </c>
      <c r="C122" s="21" t="e">
        <f t="shared" si="14"/>
        <v>#N/A</v>
      </c>
      <c r="D122" s="22" t="e">
        <f t="shared" si="11"/>
        <v>#N/A</v>
      </c>
      <c r="E122" s="22" t="e">
        <f t="shared" si="15"/>
        <v>#N/A</v>
      </c>
      <c r="F122" s="23" t="e">
        <f t="shared" si="12"/>
        <v>#N/A</v>
      </c>
      <c r="G122" s="23" t="e">
        <f>SUM(F122:F$127)</f>
        <v>#N/A</v>
      </c>
      <c r="H122" s="23" t="e">
        <f>SUM(G122:$G$127)</f>
        <v>#N/A</v>
      </c>
      <c r="I122" s="23" t="e">
        <f t="shared" si="13"/>
        <v>#N/A</v>
      </c>
      <c r="J122" s="23" t="e">
        <f>SUM(I122:I$127)</f>
        <v>#N/A</v>
      </c>
      <c r="K122" s="23" t="e">
        <f>SUM(J122:J$127)</f>
        <v>#N/A</v>
      </c>
      <c r="L122" s="24" t="e">
        <f t="shared" si="9"/>
        <v>#N/A</v>
      </c>
    </row>
    <row r="123" spans="1:12" x14ac:dyDescent="0.25">
      <c r="A123" s="20">
        <f t="shared" si="10"/>
        <v>117</v>
      </c>
      <c r="B123" s="21" t="e">
        <f>VLOOKUP(A123,'qx''ler'!$1:$1048576,MATCH(komutasyon_tablo!$A$3,'qx''ler'!$1:$1,0),FALSE)</f>
        <v>#N/A</v>
      </c>
      <c r="C123" s="21" t="e">
        <f>1-B123</f>
        <v>#N/A</v>
      </c>
      <c r="D123" s="22" t="e">
        <f t="shared" si="11"/>
        <v>#N/A</v>
      </c>
      <c r="E123" s="22" t="e">
        <f>D123*B123</f>
        <v>#N/A</v>
      </c>
      <c r="F123" s="23" t="e">
        <f t="shared" si="12"/>
        <v>#N/A</v>
      </c>
      <c r="G123" s="23" t="e">
        <f>SUM(F123:F$127)</f>
        <v>#N/A</v>
      </c>
      <c r="H123" s="23" t="e">
        <f>SUM(G123:$G$127)</f>
        <v>#N/A</v>
      </c>
      <c r="I123" s="23" t="e">
        <f t="shared" si="13"/>
        <v>#N/A</v>
      </c>
      <c r="J123" s="23" t="e">
        <f>SUM(I123:I$127)</f>
        <v>#N/A</v>
      </c>
      <c r="K123" s="23" t="e">
        <f>SUM(J123:J$127)</f>
        <v>#N/A</v>
      </c>
      <c r="L123" s="24" t="e">
        <f t="shared" si="9"/>
        <v>#N/A</v>
      </c>
    </row>
    <row r="124" spans="1:12" x14ac:dyDescent="0.25">
      <c r="A124" s="20">
        <f t="shared" si="10"/>
        <v>118</v>
      </c>
      <c r="B124" s="21" t="e">
        <f>VLOOKUP(A124,'qx''ler'!$1:$1048576,MATCH(komutasyon_tablo!$A$3,'qx''ler'!$1:$1,0),FALSE)</f>
        <v>#N/A</v>
      </c>
      <c r="C124" s="21" t="e">
        <f t="shared" si="14"/>
        <v>#N/A</v>
      </c>
      <c r="D124" s="22" t="e">
        <f t="shared" si="11"/>
        <v>#N/A</v>
      </c>
      <c r="E124" s="22" t="e">
        <f t="shared" ref="E124:E127" si="16">D124*B124</f>
        <v>#N/A</v>
      </c>
      <c r="F124" s="23" t="e">
        <f t="shared" si="12"/>
        <v>#N/A</v>
      </c>
      <c r="G124" s="23" t="e">
        <f>SUM(F124:F$127)</f>
        <v>#N/A</v>
      </c>
      <c r="H124" s="23" t="e">
        <f>SUM(G124:$G$127)</f>
        <v>#N/A</v>
      </c>
      <c r="I124" s="23" t="e">
        <f t="shared" si="13"/>
        <v>#N/A</v>
      </c>
      <c r="J124" s="23" t="e">
        <f>SUM(I124:I$127)</f>
        <v>#N/A</v>
      </c>
      <c r="K124" s="23" t="e">
        <f>SUM(J124:J$127)</f>
        <v>#N/A</v>
      </c>
      <c r="L124" s="24" t="e">
        <f t="shared" si="9"/>
        <v>#N/A</v>
      </c>
    </row>
    <row r="125" spans="1:12" x14ac:dyDescent="0.25">
      <c r="A125" s="20">
        <f t="shared" si="10"/>
        <v>119</v>
      </c>
      <c r="B125" s="21" t="e">
        <f>VLOOKUP(A125,'qx''ler'!$1:$1048576,MATCH(komutasyon_tablo!$A$3,'qx''ler'!$1:$1,0),FALSE)</f>
        <v>#N/A</v>
      </c>
      <c r="C125" s="21" t="e">
        <f t="shared" si="14"/>
        <v>#N/A</v>
      </c>
      <c r="D125" s="22" t="e">
        <f t="shared" si="11"/>
        <v>#N/A</v>
      </c>
      <c r="E125" s="22" t="e">
        <f t="shared" si="16"/>
        <v>#N/A</v>
      </c>
      <c r="F125" s="23" t="e">
        <f t="shared" si="12"/>
        <v>#N/A</v>
      </c>
      <c r="G125" s="23" t="e">
        <f>SUM(F125:F$127)</f>
        <v>#N/A</v>
      </c>
      <c r="H125" s="23" t="e">
        <f>SUM(G125:$G$127)</f>
        <v>#N/A</v>
      </c>
      <c r="I125" s="23" t="e">
        <f t="shared" si="13"/>
        <v>#N/A</v>
      </c>
      <c r="J125" s="23" t="e">
        <f>SUM(I125:I$127)</f>
        <v>#N/A</v>
      </c>
      <c r="K125" s="23" t="e">
        <f>SUM(J125:J$127)</f>
        <v>#N/A</v>
      </c>
      <c r="L125" s="24" t="e">
        <f t="shared" si="9"/>
        <v>#N/A</v>
      </c>
    </row>
    <row r="126" spans="1:12" x14ac:dyDescent="0.25">
      <c r="A126" s="20">
        <f t="shared" si="10"/>
        <v>120</v>
      </c>
      <c r="B126" s="21" t="e">
        <f>VLOOKUP(A126,'qx''ler'!$1:$1048576,MATCH(komutasyon_tablo!$A$3,'qx''ler'!$1:$1,0),FALSE)</f>
        <v>#N/A</v>
      </c>
      <c r="C126" s="21" t="e">
        <f t="shared" si="14"/>
        <v>#N/A</v>
      </c>
      <c r="D126" s="22" t="e">
        <f t="shared" si="11"/>
        <v>#N/A</v>
      </c>
      <c r="E126" s="22" t="e">
        <f t="shared" si="16"/>
        <v>#N/A</v>
      </c>
      <c r="F126" s="23" t="e">
        <f t="shared" si="12"/>
        <v>#N/A</v>
      </c>
      <c r="G126" s="23" t="e">
        <f>SUM(F126:F$127)</f>
        <v>#N/A</v>
      </c>
      <c r="H126" s="23" t="e">
        <f>SUM(G126:$G$127)</f>
        <v>#N/A</v>
      </c>
      <c r="I126" s="23" t="e">
        <f t="shared" si="13"/>
        <v>#N/A</v>
      </c>
      <c r="J126" s="23" t="e">
        <f>SUM(I126:I$127)</f>
        <v>#N/A</v>
      </c>
      <c r="K126" s="23" t="e">
        <f>SUM(J126:J$127)</f>
        <v>#N/A</v>
      </c>
      <c r="L126" s="24" t="e">
        <f t="shared" si="9"/>
        <v>#N/A</v>
      </c>
    </row>
    <row r="127" spans="1:12" x14ac:dyDescent="0.25">
      <c r="A127" s="20">
        <f t="shared" si="10"/>
        <v>121</v>
      </c>
      <c r="B127" s="21" t="e">
        <f>VLOOKUP(A127,'qx''ler'!$1:$1048576,MATCH(komutasyon_tablo!$A$3,'qx''ler'!$1:$1,0),FALSE)</f>
        <v>#N/A</v>
      </c>
      <c r="C127" s="21" t="e">
        <f t="shared" si="14"/>
        <v>#N/A</v>
      </c>
      <c r="D127" s="22" t="e">
        <f t="shared" si="11"/>
        <v>#N/A</v>
      </c>
      <c r="E127" s="22" t="e">
        <f t="shared" si="16"/>
        <v>#N/A</v>
      </c>
      <c r="F127" s="23" t="e">
        <f t="shared" si="12"/>
        <v>#N/A</v>
      </c>
      <c r="G127" s="23" t="e">
        <f>SUM(F127:F$127)</f>
        <v>#N/A</v>
      </c>
      <c r="H127" s="23" t="e">
        <f>SUM(G127:$G$127)</f>
        <v>#N/A</v>
      </c>
      <c r="I127" s="23" t="e">
        <f t="shared" si="13"/>
        <v>#N/A</v>
      </c>
      <c r="J127" s="23" t="e">
        <f>SUM(I127:I$127)</f>
        <v>#N/A</v>
      </c>
      <c r="K127" s="23" t="e">
        <f>SUM(J127:J$127)</f>
        <v>#N/A</v>
      </c>
      <c r="L127" s="24" t="e">
        <f t="shared" si="9"/>
        <v>#N/A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'qx''ler'!$B$1:$XFD$1</xm:f>
          </x14:formula1>
          <xm:sqref>A3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R124"/>
  <sheetViews>
    <sheetView workbookViewId="0">
      <selection activeCell="F33" sqref="F33"/>
    </sheetView>
  </sheetViews>
  <sheetFormatPr defaultColWidth="9.140625" defaultRowHeight="15" x14ac:dyDescent="0.25"/>
  <cols>
    <col min="1" max="1" width="4.28515625" style="26" bestFit="1" customWidth="1"/>
    <col min="2" max="2" width="15.28515625" style="26" bestFit="1" customWidth="1"/>
    <col min="3" max="3" width="14.140625" style="26" bestFit="1" customWidth="1"/>
    <col min="4" max="4" width="14.42578125" style="26" bestFit="1" customWidth="1"/>
    <col min="5" max="5" width="15.28515625" style="26" bestFit="1" customWidth="1"/>
    <col min="6" max="6" width="14.140625" style="26" bestFit="1" customWidth="1"/>
    <col min="7" max="7" width="14.42578125" style="26" bestFit="1" customWidth="1"/>
    <col min="8" max="8" width="15.28515625" style="26" bestFit="1" customWidth="1"/>
    <col min="9" max="9" width="14" style="26" bestFit="1" customWidth="1"/>
    <col min="10" max="10" width="14.28515625" style="26" bestFit="1" customWidth="1"/>
    <col min="11" max="11" width="15.140625" style="26" bestFit="1" customWidth="1"/>
    <col min="12" max="12" width="15" style="26" bestFit="1" customWidth="1"/>
    <col min="13" max="13" width="15.28515625" style="26" bestFit="1" customWidth="1"/>
    <col min="14" max="14" width="16.140625" style="26" bestFit="1" customWidth="1"/>
    <col min="15" max="16384" width="9.140625" style="26"/>
  </cols>
  <sheetData>
    <row r="1" spans="1:18" x14ac:dyDescent="0.25">
      <c r="B1" s="26" t="s">
        <v>54</v>
      </c>
      <c r="C1" s="26" t="s">
        <v>55</v>
      </c>
      <c r="D1" s="26" t="s">
        <v>56</v>
      </c>
      <c r="E1" s="26" t="s">
        <v>57</v>
      </c>
      <c r="F1" s="26" t="s">
        <v>58</v>
      </c>
      <c r="G1" s="26" t="s">
        <v>59</v>
      </c>
      <c r="H1" s="26" t="s">
        <v>60</v>
      </c>
      <c r="I1" s="26" t="s">
        <v>61</v>
      </c>
      <c r="J1" s="26" t="s">
        <v>62</v>
      </c>
      <c r="K1" s="26" t="s">
        <v>63</v>
      </c>
      <c r="L1" s="26" t="s">
        <v>64</v>
      </c>
      <c r="M1" s="26" t="s">
        <v>65</v>
      </c>
      <c r="N1" s="26" t="s">
        <v>66</v>
      </c>
      <c r="O1" s="26" t="s">
        <v>67</v>
      </c>
      <c r="P1" s="26" t="s">
        <v>68</v>
      </c>
      <c r="Q1" s="26" t="s">
        <v>41</v>
      </c>
      <c r="R1" s="2" t="s">
        <v>69</v>
      </c>
    </row>
    <row r="2" spans="1:18" ht="19.5" thickBot="1" x14ac:dyDescent="0.4">
      <c r="A2" s="27" t="s">
        <v>70</v>
      </c>
      <c r="B2" s="28" t="s">
        <v>71</v>
      </c>
      <c r="C2" s="28" t="s">
        <v>71</v>
      </c>
      <c r="D2" s="28" t="s">
        <v>71</v>
      </c>
      <c r="E2" s="28" t="s">
        <v>71</v>
      </c>
      <c r="F2" s="28" t="s">
        <v>71</v>
      </c>
      <c r="G2" s="28" t="s">
        <v>71</v>
      </c>
      <c r="H2" s="28" t="s">
        <v>71</v>
      </c>
      <c r="I2" s="28" t="s">
        <v>71</v>
      </c>
      <c r="J2" s="28" t="s">
        <v>71</v>
      </c>
      <c r="K2" s="28" t="s">
        <v>71</v>
      </c>
      <c r="L2" s="28" t="s">
        <v>71</v>
      </c>
      <c r="M2" s="28" t="s">
        <v>71</v>
      </c>
      <c r="N2" s="28" t="s">
        <v>71</v>
      </c>
      <c r="O2" s="28" t="s">
        <v>71</v>
      </c>
      <c r="P2" s="28" t="s">
        <v>71</v>
      </c>
      <c r="Q2" s="28" t="s">
        <v>71</v>
      </c>
      <c r="R2" s="28" t="s">
        <v>71</v>
      </c>
    </row>
    <row r="3" spans="1:18" ht="15.75" thickTop="1" x14ac:dyDescent="0.25">
      <c r="A3" s="26">
        <v>0</v>
      </c>
      <c r="B3" s="29">
        <v>7.0800000000000004E-3</v>
      </c>
      <c r="C3" s="29">
        <v>4.1799999999999997E-3</v>
      </c>
      <c r="D3" s="29">
        <v>2.8900000000000002E-3</v>
      </c>
      <c r="E3" s="29">
        <v>3.5400000000000002E-3</v>
      </c>
      <c r="F3" s="29">
        <v>9.7000000000000005E-4</v>
      </c>
      <c r="G3" s="29">
        <v>4.8000000000000001E-4</v>
      </c>
      <c r="H3" s="29">
        <v>7.2499999999999995E-4</v>
      </c>
      <c r="I3" s="29">
        <v>1.9532999999999998E-2</v>
      </c>
      <c r="J3" s="29">
        <v>8.1609999999999999E-3</v>
      </c>
      <c r="K3" s="29">
        <v>1.3847E-2</v>
      </c>
      <c r="L3" s="29">
        <v>1.9532999999999998E-2</v>
      </c>
      <c r="M3" s="29">
        <v>8.1609999999999999E-3</v>
      </c>
      <c r="N3" s="29">
        <v>1.3847E-2</v>
      </c>
      <c r="O3" s="26">
        <v>1.9532999999999998E-2</v>
      </c>
      <c r="P3" s="26">
        <v>8.1609999999999999E-3</v>
      </c>
      <c r="Q3" s="26">
        <v>1.3846999999999998E-2</v>
      </c>
      <c r="R3" s="2">
        <v>0</v>
      </c>
    </row>
    <row r="4" spans="1:18" x14ac:dyDescent="0.25">
      <c r="A4" s="26">
        <v>1</v>
      </c>
      <c r="B4" s="29">
        <v>1.7599605204850341E-3</v>
      </c>
      <c r="C4" s="29">
        <v>1.0699724849872467E-3</v>
      </c>
      <c r="D4" s="29">
        <v>8.7001434144678123E-4</v>
      </c>
      <c r="E4" s="29">
        <v>9.7000000000000005E-4</v>
      </c>
      <c r="F4" s="29">
        <v>5.5999999999999995E-4</v>
      </c>
      <c r="G4" s="29">
        <v>3.5E-4</v>
      </c>
      <c r="H4" s="29">
        <v>4.55E-4</v>
      </c>
      <c r="I4" s="29">
        <v>8.8800000000000001E-4</v>
      </c>
      <c r="J4" s="29">
        <v>2.7799999999999998E-4</v>
      </c>
      <c r="K4" s="29">
        <v>5.8299999999999997E-4</v>
      </c>
      <c r="L4" s="29">
        <v>8.4900000000000004E-4</v>
      </c>
      <c r="M4" s="29">
        <v>2.6600000000000001E-4</v>
      </c>
      <c r="N4" s="29">
        <v>5.5800000000000001E-4</v>
      </c>
      <c r="O4" s="26">
        <v>7.8350255696811198E-4</v>
      </c>
      <c r="P4" s="26">
        <v>2.5490509104670499E-4</v>
      </c>
      <c r="Q4" s="26">
        <v>5.1920382400740851E-4</v>
      </c>
      <c r="R4" s="2">
        <v>0</v>
      </c>
    </row>
    <row r="5" spans="1:18" x14ac:dyDescent="0.25">
      <c r="A5" s="26">
        <v>2</v>
      </c>
      <c r="B5" s="29">
        <v>1.520017958528914E-3</v>
      </c>
      <c r="C5" s="29">
        <v>9.8999300832516976E-4</v>
      </c>
      <c r="D5" s="29">
        <v>8.1004373935060991E-4</v>
      </c>
      <c r="E5" s="29">
        <v>9.1E-4</v>
      </c>
      <c r="F5" s="29">
        <v>3.8999999999999999E-4</v>
      </c>
      <c r="G5" s="29">
        <v>2.5999999999999998E-4</v>
      </c>
      <c r="H5" s="29">
        <v>3.2499999999999999E-4</v>
      </c>
      <c r="I5" s="29">
        <v>7.76E-4</v>
      </c>
      <c r="J5" s="29">
        <v>2.3499999999999999E-4</v>
      </c>
      <c r="K5" s="29">
        <v>5.0600000000000005E-4</v>
      </c>
      <c r="L5" s="29">
        <v>7.5699999999999997E-4</v>
      </c>
      <c r="M5" s="29">
        <v>2.14E-4</v>
      </c>
      <c r="N5" s="29">
        <v>4.86E-4</v>
      </c>
      <c r="O5" s="26">
        <v>6.5407164250488132E-4</v>
      </c>
      <c r="P5" s="26">
        <v>1.9391250876834933E-4</v>
      </c>
      <c r="Q5" s="26">
        <v>4.2399207563661534E-4</v>
      </c>
      <c r="R5" s="2">
        <v>0</v>
      </c>
    </row>
    <row r="6" spans="1:18" x14ac:dyDescent="0.25">
      <c r="A6" s="26">
        <v>3</v>
      </c>
      <c r="B6" s="29">
        <v>1.4599876584613051E-3</v>
      </c>
      <c r="C6" s="29">
        <v>9.8000572969773577E-4</v>
      </c>
      <c r="D6" s="29">
        <v>7.9000598230623677E-4</v>
      </c>
      <c r="E6" s="29">
        <v>8.8999999999999995E-4</v>
      </c>
      <c r="F6" s="29">
        <v>2.7E-4</v>
      </c>
      <c r="G6" s="29">
        <v>2.0000000000000001E-4</v>
      </c>
      <c r="H6" s="29">
        <v>2.3499999999999999E-4</v>
      </c>
      <c r="I6" s="29">
        <v>6.8599999999999998E-4</v>
      </c>
      <c r="J6" s="29">
        <v>2.02E-4</v>
      </c>
      <c r="K6" s="29">
        <v>4.44E-4</v>
      </c>
      <c r="L6" s="29">
        <v>6.5600000000000001E-4</v>
      </c>
      <c r="M6" s="29">
        <v>1.7100000000000001E-4</v>
      </c>
      <c r="N6" s="29">
        <v>4.1399999999999998E-4</v>
      </c>
      <c r="O6" s="26">
        <v>5.3608848042800954E-4</v>
      </c>
      <c r="P6" s="26">
        <v>1.4677879677251927E-4</v>
      </c>
      <c r="Q6" s="26">
        <v>3.4143363860026439E-4</v>
      </c>
      <c r="R6" s="2">
        <v>0</v>
      </c>
    </row>
    <row r="7" spans="1:18" x14ac:dyDescent="0.25">
      <c r="A7" s="26">
        <v>4</v>
      </c>
      <c r="B7" s="29">
        <v>1.3999904879576533E-3</v>
      </c>
      <c r="C7" s="29">
        <v>9.5004430921242816E-4</v>
      </c>
      <c r="D7" s="29">
        <v>7.7002030163200264E-4</v>
      </c>
      <c r="E7" s="29">
        <v>8.4999999999999995E-4</v>
      </c>
      <c r="F7" s="29">
        <v>2.1000000000000001E-4</v>
      </c>
      <c r="G7" s="29">
        <v>1.9000000000000001E-4</v>
      </c>
      <c r="H7" s="29">
        <v>2.0000000000000001E-4</v>
      </c>
      <c r="I7" s="29">
        <v>6.4199999999999999E-4</v>
      </c>
      <c r="J7" s="29">
        <v>1.8699999999999999E-4</v>
      </c>
      <c r="K7" s="29">
        <v>4.15E-4</v>
      </c>
      <c r="L7" s="29">
        <v>5.5900000000000004E-4</v>
      </c>
      <c r="M7" s="29">
        <v>1.36E-4</v>
      </c>
      <c r="N7" s="29">
        <v>3.4699999999999998E-4</v>
      </c>
      <c r="O7" s="26">
        <v>4.3174390295062324E-4</v>
      </c>
      <c r="P7" s="26">
        <v>1.1030614525479147E-4</v>
      </c>
      <c r="Q7" s="26">
        <v>2.7102502410270734E-4</v>
      </c>
      <c r="R7" s="2">
        <v>0</v>
      </c>
    </row>
    <row r="8" spans="1:18" x14ac:dyDescent="0.25">
      <c r="A8" s="26">
        <v>5</v>
      </c>
      <c r="B8" s="29">
        <v>1.3499689665218437E-3</v>
      </c>
      <c r="C8" s="29">
        <v>9.0003292827986741E-4</v>
      </c>
      <c r="D8" s="29">
        <v>7.5994845269544752E-4</v>
      </c>
      <c r="E8" s="29">
        <v>8.3000000000000001E-4</v>
      </c>
      <c r="F8" s="29">
        <v>2.1000000000000001E-4</v>
      </c>
      <c r="G8" s="29">
        <v>1.8000000000000001E-4</v>
      </c>
      <c r="H8" s="29">
        <v>1.95E-4</v>
      </c>
      <c r="I8" s="29">
        <v>5.5199999999999997E-4</v>
      </c>
      <c r="J8" s="29">
        <v>1.4300000000000001E-4</v>
      </c>
      <c r="K8" s="29">
        <v>3.48E-4</v>
      </c>
      <c r="L8" s="29">
        <v>4.73E-4</v>
      </c>
      <c r="M8" s="29">
        <v>1.05E-4</v>
      </c>
      <c r="N8" s="29">
        <v>2.8899999999999998E-4</v>
      </c>
      <c r="O8" s="26">
        <v>3.4005937318833102E-4</v>
      </c>
      <c r="P8" s="26">
        <v>8.0311601956038303E-5</v>
      </c>
      <c r="Q8" s="26">
        <v>2.1018548757218466E-4</v>
      </c>
      <c r="R8" s="26">
        <v>2.5700000000000001E-4</v>
      </c>
    </row>
    <row r="9" spans="1:18" x14ac:dyDescent="0.25">
      <c r="A9" s="26">
        <v>6</v>
      </c>
      <c r="B9" s="29">
        <v>1.3000437440569828E-3</v>
      </c>
      <c r="C9" s="29">
        <v>8.599742532467762E-4</v>
      </c>
      <c r="D9" s="29">
        <v>7.3001674809458075E-4</v>
      </c>
      <c r="E9" s="29">
        <v>7.9000000000000001E-4</v>
      </c>
      <c r="F9" s="29">
        <v>2.2000000000000001E-4</v>
      </c>
      <c r="G9" s="29">
        <v>1.8000000000000001E-4</v>
      </c>
      <c r="H9" s="29">
        <v>2.0000000000000001E-4</v>
      </c>
      <c r="I9" s="29">
        <v>4.2999999999999999E-4</v>
      </c>
      <c r="J9" s="29">
        <v>1.16E-4</v>
      </c>
      <c r="K9" s="29">
        <v>2.7300000000000002E-4</v>
      </c>
      <c r="L9" s="29">
        <v>3.8900000000000002E-4</v>
      </c>
      <c r="M9" s="29">
        <v>9.2999999999999997E-5</v>
      </c>
      <c r="N9" s="29">
        <v>2.41E-4</v>
      </c>
      <c r="O9" s="26">
        <v>2.9256724173397114E-4</v>
      </c>
      <c r="P9" s="26">
        <v>7.2388543659646096E-5</v>
      </c>
      <c r="Q9" s="26">
        <v>1.8247789269680863E-4</v>
      </c>
      <c r="R9" s="26">
        <v>2.2900000000000001E-4</v>
      </c>
    </row>
    <row r="10" spans="1:18" x14ac:dyDescent="0.25">
      <c r="A10" s="26">
        <v>7</v>
      </c>
      <c r="B10" s="29">
        <v>1.2599772755005694E-3</v>
      </c>
      <c r="C10" s="29">
        <v>8.000139782773127E-4</v>
      </c>
      <c r="D10" s="29">
        <v>7.1996968166860458E-4</v>
      </c>
      <c r="E10" s="29">
        <v>7.6999999999999996E-4</v>
      </c>
      <c r="F10" s="29">
        <v>2.2000000000000001E-4</v>
      </c>
      <c r="G10" s="29">
        <v>2.1000000000000001E-4</v>
      </c>
      <c r="H10" s="29">
        <v>2.1499999999999999E-4</v>
      </c>
      <c r="I10" s="29">
        <v>3.5500000000000001E-4</v>
      </c>
      <c r="J10" s="29">
        <v>1E-4</v>
      </c>
      <c r="K10" s="29">
        <v>2.2800000000000001E-4</v>
      </c>
      <c r="L10" s="29">
        <v>3.2699999999999998E-4</v>
      </c>
      <c r="M10" s="29">
        <v>7.7999999999999999E-5</v>
      </c>
      <c r="N10" s="29">
        <v>2.02E-4</v>
      </c>
      <c r="O10" s="26">
        <v>2.3906514723487319E-4</v>
      </c>
      <c r="P10" s="26">
        <v>6.1555173063606837E-5</v>
      </c>
      <c r="Q10" s="26">
        <v>1.5031016014924002E-4</v>
      </c>
      <c r="R10" s="26">
        <v>2.1000000000000001E-4</v>
      </c>
    </row>
    <row r="11" spans="1:18" x14ac:dyDescent="0.25">
      <c r="A11" s="26">
        <v>8</v>
      </c>
      <c r="B11" s="29">
        <v>1.2300301937773147E-3</v>
      </c>
      <c r="C11" s="29">
        <v>7.5991928157202813E-4</v>
      </c>
      <c r="D11" s="29">
        <v>7.0001827186846194E-4</v>
      </c>
      <c r="E11" s="29">
        <v>7.2999999999999996E-4</v>
      </c>
      <c r="F11" s="29">
        <v>2.2000000000000001E-4</v>
      </c>
      <c r="G11" s="29">
        <v>2.1000000000000001E-4</v>
      </c>
      <c r="H11" s="29">
        <v>2.1499999999999999E-4</v>
      </c>
      <c r="I11" s="29">
        <v>3.2699999999999998E-4</v>
      </c>
      <c r="J11" s="29">
        <v>9.2999999999999997E-5</v>
      </c>
      <c r="K11" s="29">
        <v>2.1000000000000001E-4</v>
      </c>
      <c r="L11" s="29">
        <v>2.8299999999999999E-4</v>
      </c>
      <c r="M11" s="29">
        <v>6.3999999999999997E-5</v>
      </c>
      <c r="N11" s="29">
        <v>1.74E-4</v>
      </c>
      <c r="O11" s="26">
        <v>1.8604917908965032E-4</v>
      </c>
      <c r="P11" s="26">
        <v>4.9903856643404758E-5</v>
      </c>
      <c r="Q11" s="26">
        <v>1.1797651786652754E-4</v>
      </c>
      <c r="R11" s="26">
        <v>1.9900000000000001E-4</v>
      </c>
    </row>
    <row r="12" spans="1:18" x14ac:dyDescent="0.25">
      <c r="A12" s="26">
        <v>9</v>
      </c>
      <c r="B12" s="29">
        <v>1.2099514868428598E-3</v>
      </c>
      <c r="C12" s="29">
        <v>7.4006351436295761E-4</v>
      </c>
      <c r="D12" s="29">
        <v>6.90014129245156E-4</v>
      </c>
      <c r="E12" s="29">
        <v>7.2000000000000005E-4</v>
      </c>
      <c r="F12" s="29">
        <v>2.3000000000000001E-4</v>
      </c>
      <c r="G12" s="29">
        <v>2.1000000000000001E-4</v>
      </c>
      <c r="H12" s="29">
        <v>2.2000000000000001E-4</v>
      </c>
      <c r="I12" s="29">
        <v>3.4699999999999998E-4</v>
      </c>
      <c r="J12" s="29">
        <v>9.7E-5</v>
      </c>
      <c r="K12" s="29">
        <v>2.22E-4</v>
      </c>
      <c r="L12" s="29">
        <v>2.5500000000000002E-4</v>
      </c>
      <c r="M12" s="29">
        <v>5.1999999999999997E-5</v>
      </c>
      <c r="N12" s="29">
        <v>1.54E-4</v>
      </c>
      <c r="O12" s="26">
        <v>1.4001542669691557E-4</v>
      </c>
      <c r="P12" s="26">
        <v>3.9526960874524154E-5</v>
      </c>
      <c r="Q12" s="26">
        <v>8.9771193785719857E-5</v>
      </c>
      <c r="R12" s="26">
        <v>1.95E-4</v>
      </c>
    </row>
    <row r="13" spans="1:18" x14ac:dyDescent="0.25">
      <c r="A13" s="26">
        <v>10</v>
      </c>
      <c r="B13" s="29">
        <v>1.2099895266814674E-3</v>
      </c>
      <c r="C13" s="29">
        <v>7.2998227836671044E-4</v>
      </c>
      <c r="D13" s="29">
        <v>6.7998881966704579E-4</v>
      </c>
      <c r="E13" s="29">
        <v>7.1000000000000002E-4</v>
      </c>
      <c r="F13" s="29">
        <v>2.3000000000000001E-4</v>
      </c>
      <c r="G13" s="29">
        <v>2.2000000000000001E-4</v>
      </c>
      <c r="H13" s="29">
        <v>2.2499999999999999E-4</v>
      </c>
      <c r="I13" s="29">
        <v>3.3500000000000001E-4</v>
      </c>
      <c r="J13" s="29">
        <v>9.3999999999999994E-5</v>
      </c>
      <c r="K13" s="29">
        <v>2.1499999999999999E-4</v>
      </c>
      <c r="L13" s="29">
        <v>2.3800000000000001E-4</v>
      </c>
      <c r="M13" s="29">
        <v>4.3999999999999999E-5</v>
      </c>
      <c r="N13" s="29">
        <v>1.4100000000000001E-4</v>
      </c>
      <c r="O13" s="26">
        <v>1.0745997945528201E-4</v>
      </c>
      <c r="P13" s="26">
        <v>3.2516852232449303E-5</v>
      </c>
      <c r="Q13" s="26">
        <v>6.9988415843865657E-5</v>
      </c>
      <c r="R13" s="26">
        <v>1.95E-4</v>
      </c>
    </row>
    <row r="14" spans="1:18" x14ac:dyDescent="0.25">
      <c r="A14" s="26">
        <v>11</v>
      </c>
      <c r="B14" s="29">
        <v>1.2300381713098983E-3</v>
      </c>
      <c r="C14" s="29">
        <v>7.7002477228753688E-4</v>
      </c>
      <c r="D14" s="29">
        <v>6.9005099849742883E-4</v>
      </c>
      <c r="E14" s="29">
        <v>7.2000000000000005E-4</v>
      </c>
      <c r="F14" s="29">
        <v>2.7E-4</v>
      </c>
      <c r="G14" s="29">
        <v>2.3000000000000001E-4</v>
      </c>
      <c r="H14" s="29">
        <v>2.5000000000000001E-4</v>
      </c>
      <c r="I14" s="29">
        <v>2.9100000000000003E-4</v>
      </c>
      <c r="J14" s="29">
        <v>8.3999999999999995E-5</v>
      </c>
      <c r="K14" s="29">
        <v>1.8799999999999999E-4</v>
      </c>
      <c r="L14" s="29">
        <v>2.3499999999999999E-4</v>
      </c>
      <c r="M14" s="29">
        <v>3.8999999999999999E-5</v>
      </c>
      <c r="N14" s="29">
        <v>1.37E-4</v>
      </c>
      <c r="O14" s="26">
        <v>8.4052111099007626E-5</v>
      </c>
      <c r="P14" s="26">
        <v>2.7478619733524014E-5</v>
      </c>
      <c r="Q14" s="26">
        <v>5.5765365416265821E-5</v>
      </c>
      <c r="R14" s="26">
        <v>2.0100000000000001E-4</v>
      </c>
    </row>
    <row r="15" spans="1:18" x14ac:dyDescent="0.25">
      <c r="A15" s="26">
        <v>12</v>
      </c>
      <c r="B15" s="29">
        <v>1.2599726966727929E-3</v>
      </c>
      <c r="C15" s="29">
        <v>8.5000167283249065E-4</v>
      </c>
      <c r="D15" s="29">
        <v>7.1995252358021471E-4</v>
      </c>
      <c r="E15" s="29">
        <v>7.7999999999999999E-4</v>
      </c>
      <c r="F15" s="29">
        <v>3.3E-4</v>
      </c>
      <c r="G15" s="29">
        <v>2.7E-4</v>
      </c>
      <c r="H15" s="29">
        <v>2.9999999999999997E-4</v>
      </c>
      <c r="I15" s="29">
        <v>2.9500000000000001E-4</v>
      </c>
      <c r="J15" s="29">
        <v>8.3999999999999995E-5</v>
      </c>
      <c r="K15" s="29">
        <v>1.9000000000000001E-4</v>
      </c>
      <c r="L15" s="29">
        <v>2.4899999999999998E-4</v>
      </c>
      <c r="M15" s="29">
        <v>3.4999999999999997E-5</v>
      </c>
      <c r="N15" s="29">
        <v>1.4200000000000001E-4</v>
      </c>
      <c r="O15" s="26">
        <v>6.5461095362350343E-5</v>
      </c>
      <c r="P15" s="26">
        <v>2.3017352394092094E-5</v>
      </c>
      <c r="Q15" s="26">
        <v>4.423922387822122E-5</v>
      </c>
      <c r="R15" s="26">
        <v>2.0900000000000001E-4</v>
      </c>
    </row>
    <row r="16" spans="1:18" x14ac:dyDescent="0.25">
      <c r="A16" s="26">
        <v>13</v>
      </c>
      <c r="B16" s="29">
        <v>1.3200086431087023E-3</v>
      </c>
      <c r="C16" s="29">
        <v>9.8994168111092638E-4</v>
      </c>
      <c r="D16" s="29">
        <v>7.5001864421683718E-4</v>
      </c>
      <c r="E16" s="29">
        <v>8.7000000000000001E-4</v>
      </c>
      <c r="F16" s="29">
        <v>3.8999999999999999E-4</v>
      </c>
      <c r="G16" s="29">
        <v>2.9999999999999997E-4</v>
      </c>
      <c r="H16" s="29">
        <v>3.4499999999999998E-4</v>
      </c>
      <c r="I16" s="29">
        <v>3.4699999999999998E-4</v>
      </c>
      <c r="J16" s="29">
        <v>9.5000000000000005E-5</v>
      </c>
      <c r="K16" s="29">
        <v>2.2100000000000001E-4</v>
      </c>
      <c r="L16" s="29">
        <v>2.7500000000000002E-4</v>
      </c>
      <c r="M16" s="29">
        <v>3.4999999999999997E-5</v>
      </c>
      <c r="N16" s="29">
        <v>1.55E-4</v>
      </c>
      <c r="O16" s="26">
        <v>5.8183021643923235E-5</v>
      </c>
      <c r="P16" s="26">
        <v>2.1225416689637846E-5</v>
      </c>
      <c r="Q16" s="26">
        <v>3.970421916678054E-5</v>
      </c>
      <c r="R16" s="26">
        <v>2.1599999999999999E-4</v>
      </c>
    </row>
    <row r="17" spans="1:18" x14ac:dyDescent="0.25">
      <c r="A17" s="26">
        <v>14</v>
      </c>
      <c r="B17" s="29">
        <v>1.390013895014286E-3</v>
      </c>
      <c r="C17" s="29">
        <v>1.1499821743621622E-3</v>
      </c>
      <c r="D17" s="29">
        <v>7.9999927088674047E-4</v>
      </c>
      <c r="E17" s="29">
        <v>9.7000000000000005E-4</v>
      </c>
      <c r="F17" s="29">
        <v>4.6999999999999999E-4</v>
      </c>
      <c r="G17" s="29">
        <v>3.3E-4</v>
      </c>
      <c r="H17" s="29">
        <v>4.0000000000000002E-4</v>
      </c>
      <c r="I17" s="29">
        <v>4.46E-4</v>
      </c>
      <c r="J17" s="29">
        <v>1.15E-4</v>
      </c>
      <c r="K17" s="29">
        <v>2.81E-4</v>
      </c>
      <c r="L17" s="29">
        <v>3.1100000000000002E-4</v>
      </c>
      <c r="M17" s="29">
        <v>4.0000000000000003E-5</v>
      </c>
      <c r="N17" s="29">
        <v>1.76E-4</v>
      </c>
      <c r="O17" s="26">
        <v>6.8713979342339434E-5</v>
      </c>
      <c r="P17" s="26">
        <v>2.4195179095645521E-5</v>
      </c>
      <c r="Q17" s="26">
        <v>4.6454579218992477E-5</v>
      </c>
      <c r="R17" s="26">
        <v>2.24E-4</v>
      </c>
    </row>
    <row r="18" spans="1:18" x14ac:dyDescent="0.25">
      <c r="A18" s="26">
        <v>15</v>
      </c>
      <c r="B18" s="29">
        <v>1.4599963564238556E-3</v>
      </c>
      <c r="C18" s="29">
        <v>1.3300728245377693E-3</v>
      </c>
      <c r="D18" s="29">
        <v>8.4999567755864459E-4</v>
      </c>
      <c r="E18" s="29">
        <v>1.1000000000000001E-3</v>
      </c>
      <c r="F18" s="29">
        <v>6.0999999999999997E-4</v>
      </c>
      <c r="G18" s="29">
        <v>3.5E-4</v>
      </c>
      <c r="H18" s="29">
        <v>4.8000000000000001E-4</v>
      </c>
      <c r="I18" s="29">
        <v>5.5099999999999995E-4</v>
      </c>
      <c r="J18" s="29">
        <v>1.35E-4</v>
      </c>
      <c r="K18" s="29">
        <v>3.4299999999999999E-4</v>
      </c>
      <c r="L18" s="29">
        <v>3.5199999999999999E-4</v>
      </c>
      <c r="M18" s="29">
        <v>5.1999999999999997E-5</v>
      </c>
      <c r="N18" s="29">
        <v>2.02E-4</v>
      </c>
      <c r="O18" s="26">
        <v>1.03550057856212E-4</v>
      </c>
      <c r="P18" s="26">
        <v>3.4019006087599399E-5</v>
      </c>
      <c r="Q18" s="26">
        <v>6.8784531971905705E-5</v>
      </c>
      <c r="R18" s="26">
        <v>2.33E-4</v>
      </c>
    </row>
    <row r="19" spans="1:18" x14ac:dyDescent="0.25">
      <c r="A19" s="26">
        <v>16</v>
      </c>
      <c r="B19" s="29">
        <v>1.5400428617682279E-3</v>
      </c>
      <c r="C19" s="29">
        <v>1.5099326257859715E-3</v>
      </c>
      <c r="D19" s="29">
        <v>9.0001523524042978E-4</v>
      </c>
      <c r="E19" s="29">
        <v>1.2099999999999999E-3</v>
      </c>
      <c r="F19" s="29">
        <v>7.3999999999999999E-4</v>
      </c>
      <c r="G19" s="29">
        <v>3.8999999999999999E-4</v>
      </c>
      <c r="H19" s="29">
        <v>5.6499999999999996E-4</v>
      </c>
      <c r="I19" s="29">
        <v>6.2600000000000004E-4</v>
      </c>
      <c r="J19" s="29">
        <v>1.4799999999999999E-4</v>
      </c>
      <c r="K19" s="29">
        <v>3.8699999999999997E-4</v>
      </c>
      <c r="L19" s="29">
        <v>4.06E-4</v>
      </c>
      <c r="M19" s="29">
        <v>7.7000000000000001E-5</v>
      </c>
      <c r="N19" s="29">
        <v>2.41E-4</v>
      </c>
      <c r="O19" s="26">
        <v>1.7803221407972731E-4</v>
      </c>
      <c r="P19" s="26">
        <v>5.53122550090139E-5</v>
      </c>
      <c r="Q19" s="26">
        <v>1.166722345443706E-4</v>
      </c>
      <c r="R19" s="26">
        <v>2.41E-4</v>
      </c>
    </row>
    <row r="20" spans="1:18" x14ac:dyDescent="0.25">
      <c r="A20" s="26">
        <v>17</v>
      </c>
      <c r="B20" s="29">
        <v>1.620038445673122E-3</v>
      </c>
      <c r="C20" s="29">
        <v>1.6700762654904239E-3</v>
      </c>
      <c r="D20" s="29">
        <v>9.4996380147553531E-4</v>
      </c>
      <c r="E20" s="29">
        <v>1.31E-3</v>
      </c>
      <c r="F20" s="29">
        <v>8.7000000000000001E-4</v>
      </c>
      <c r="G20" s="29">
        <v>4.0999999999999999E-4</v>
      </c>
      <c r="H20" s="29">
        <v>6.4000000000000005E-4</v>
      </c>
      <c r="I20" s="29">
        <v>6.8999999999999997E-4</v>
      </c>
      <c r="J20" s="29">
        <v>1.6200000000000001E-4</v>
      </c>
      <c r="K20" s="29">
        <v>4.26E-4</v>
      </c>
      <c r="L20" s="29">
        <v>4.7399999999999997E-4</v>
      </c>
      <c r="M20" s="29">
        <v>1.12E-4</v>
      </c>
      <c r="N20" s="29">
        <v>2.9300000000000002E-4</v>
      </c>
      <c r="O20" s="26">
        <v>2.8782972174714325E-4</v>
      </c>
      <c r="P20" s="26">
        <v>8.6680014876232831E-5</v>
      </c>
      <c r="Q20" s="26">
        <v>1.8725486831168805E-4</v>
      </c>
      <c r="R20" s="26">
        <v>2.5099999999999998E-4</v>
      </c>
    </row>
    <row r="21" spans="1:18" x14ac:dyDescent="0.25">
      <c r="A21" s="26">
        <v>18</v>
      </c>
      <c r="B21" s="29">
        <v>1.6899991029290912E-3</v>
      </c>
      <c r="C21" s="29">
        <v>1.7799206967442109E-3</v>
      </c>
      <c r="D21" s="29">
        <v>9.8003229919804832E-4</v>
      </c>
      <c r="E21" s="29">
        <v>1.39E-3</v>
      </c>
      <c r="F21" s="29">
        <v>9.3999999999999997E-4</v>
      </c>
      <c r="G21" s="29">
        <v>4.2999999999999999E-4</v>
      </c>
      <c r="H21" s="29">
        <v>6.8499999999999995E-4</v>
      </c>
      <c r="I21" s="29">
        <v>7.45E-4</v>
      </c>
      <c r="J21" s="29">
        <v>1.7699999999999999E-4</v>
      </c>
      <c r="K21" s="29">
        <v>4.6099999999999998E-4</v>
      </c>
      <c r="L21" s="29">
        <v>5.4699999999999996E-4</v>
      </c>
      <c r="M21" s="29">
        <v>1.5100000000000001E-4</v>
      </c>
      <c r="N21" s="29">
        <v>3.4900000000000003E-4</v>
      </c>
      <c r="O21" s="26">
        <v>4.0993114551718033E-4</v>
      </c>
      <c r="P21" s="26">
        <v>1.2119924967398457E-4</v>
      </c>
      <c r="Q21" s="26">
        <v>2.6556519759558247E-4</v>
      </c>
      <c r="R21" s="26">
        <v>2.61E-4</v>
      </c>
    </row>
    <row r="22" spans="1:18" x14ac:dyDescent="0.25">
      <c r="A22" s="26">
        <v>19</v>
      </c>
      <c r="B22" s="29">
        <v>1.7399585202812688E-3</v>
      </c>
      <c r="C22" s="29">
        <v>1.8600463737589075E-3</v>
      </c>
      <c r="D22" s="29">
        <v>1.0199527039783344E-3</v>
      </c>
      <c r="E22" s="29">
        <v>1.4400000000000001E-3</v>
      </c>
      <c r="F22" s="29">
        <v>9.7999999999999997E-4</v>
      </c>
      <c r="G22" s="29">
        <v>4.6000000000000001E-4</v>
      </c>
      <c r="H22" s="29">
        <v>7.2000000000000005E-4</v>
      </c>
      <c r="I22" s="29">
        <v>7.9000000000000001E-4</v>
      </c>
      <c r="J22" s="29">
        <v>1.93E-4</v>
      </c>
      <c r="K22" s="29">
        <v>4.9200000000000003E-4</v>
      </c>
      <c r="L22" s="29">
        <v>6.1399999999999996E-4</v>
      </c>
      <c r="M22" s="29">
        <v>1.8599999999999999E-4</v>
      </c>
      <c r="N22" s="29">
        <v>4.0000000000000002E-4</v>
      </c>
      <c r="O22" s="26">
        <v>5.2132505004855916E-4</v>
      </c>
      <c r="P22" s="26">
        <v>1.5194692338699753E-4</v>
      </c>
      <c r="Q22" s="26">
        <v>3.3663598671777834E-4</v>
      </c>
      <c r="R22" s="26">
        <v>2.72E-4</v>
      </c>
    </row>
    <row r="23" spans="1:18" x14ac:dyDescent="0.25">
      <c r="A23" s="26">
        <v>20</v>
      </c>
      <c r="B23" s="29">
        <v>1.7899648980640858E-3</v>
      </c>
      <c r="C23" s="29">
        <v>1.9000098419546122E-3</v>
      </c>
      <c r="D23" s="29">
        <v>1.0500140466871354E-3</v>
      </c>
      <c r="E23" s="29">
        <v>1.48E-3</v>
      </c>
      <c r="F23" s="29">
        <v>1E-3</v>
      </c>
      <c r="G23" s="29">
        <v>4.6999999999999999E-4</v>
      </c>
      <c r="H23" s="29">
        <v>7.3499999999999998E-4</v>
      </c>
      <c r="I23" s="29">
        <v>8.5800000000000004E-4</v>
      </c>
      <c r="J23" s="29">
        <v>2.1000000000000001E-4</v>
      </c>
      <c r="K23" s="29">
        <v>5.3399999999999997E-4</v>
      </c>
      <c r="L23" s="29">
        <v>6.6600000000000003E-4</v>
      </c>
      <c r="M23" s="29">
        <v>2.0900000000000001E-4</v>
      </c>
      <c r="N23" s="29">
        <v>4.3800000000000002E-4</v>
      </c>
      <c r="O23" s="26">
        <v>5.9900000000000003E-4</v>
      </c>
      <c r="P23" s="26">
        <v>1.7200000000000001E-4</v>
      </c>
      <c r="Q23" s="26">
        <v>3.8549999999999999E-4</v>
      </c>
      <c r="R23" s="26">
        <v>2.8299999999999999E-4</v>
      </c>
    </row>
    <row r="24" spans="1:18" x14ac:dyDescent="0.25">
      <c r="A24" s="26">
        <v>21</v>
      </c>
      <c r="B24" s="29">
        <v>1.8299709754476044E-3</v>
      </c>
      <c r="C24" s="29">
        <v>1.909995113822664E-3</v>
      </c>
      <c r="D24" s="29">
        <v>1.0699750644946149E-3</v>
      </c>
      <c r="E24" s="29">
        <v>1.49E-3</v>
      </c>
      <c r="F24" s="29">
        <v>1E-3</v>
      </c>
      <c r="G24" s="29">
        <v>4.8000000000000001E-4</v>
      </c>
      <c r="H24" s="29">
        <v>7.3999999999999999E-4</v>
      </c>
      <c r="I24" s="29">
        <v>9.3199999999999999E-4</v>
      </c>
      <c r="J24" s="29">
        <v>2.2599999999999999E-4</v>
      </c>
      <c r="K24" s="29">
        <v>5.7899999999999998E-4</v>
      </c>
      <c r="L24" s="29">
        <v>6.8599999999999998E-4</v>
      </c>
      <c r="M24" s="29">
        <v>2.23E-4</v>
      </c>
      <c r="N24" s="29">
        <v>4.55E-4</v>
      </c>
      <c r="O24" s="26">
        <v>6.0899999999999995E-4</v>
      </c>
      <c r="P24" s="26">
        <v>1.8100000000000001E-4</v>
      </c>
      <c r="Q24" s="26">
        <v>3.9499999999999995E-4</v>
      </c>
      <c r="R24" s="26">
        <v>2.9700000000000001E-4</v>
      </c>
    </row>
    <row r="25" spans="1:18" x14ac:dyDescent="0.25">
      <c r="A25" s="26">
        <v>22</v>
      </c>
      <c r="B25" s="29">
        <v>1.8600132356681007E-3</v>
      </c>
      <c r="C25" s="29">
        <v>1.8899803973065027E-3</v>
      </c>
      <c r="D25" s="29">
        <v>1.0899986653077568E-3</v>
      </c>
      <c r="E25" s="29">
        <v>1.5E-3</v>
      </c>
      <c r="F25" s="29">
        <v>1.0200000000000001E-3</v>
      </c>
      <c r="G25" s="29">
        <v>5.0000000000000001E-4</v>
      </c>
      <c r="H25" s="29">
        <v>7.6000000000000004E-4</v>
      </c>
      <c r="I25" s="29">
        <v>9.7300000000000002E-4</v>
      </c>
      <c r="J25" s="29">
        <v>2.41E-4</v>
      </c>
      <c r="K25" s="29">
        <v>6.0700000000000001E-4</v>
      </c>
      <c r="L25" s="29">
        <v>7.0600000000000003E-4</v>
      </c>
      <c r="M25" s="29">
        <v>2.2499999999999999E-4</v>
      </c>
      <c r="N25" s="29">
        <v>4.66E-4</v>
      </c>
      <c r="O25" s="26">
        <v>6.1899999999999998E-4</v>
      </c>
      <c r="P25" s="26">
        <v>1.8000000000000001E-4</v>
      </c>
      <c r="Q25" s="26">
        <v>3.9950000000000001E-4</v>
      </c>
      <c r="R25" s="26">
        <v>3.1E-4</v>
      </c>
    </row>
    <row r="26" spans="1:18" x14ac:dyDescent="0.25">
      <c r="A26" s="26">
        <v>23</v>
      </c>
      <c r="B26" s="29">
        <v>1.8900083196986474E-3</v>
      </c>
      <c r="C26" s="29">
        <v>1.8600494274110041E-3</v>
      </c>
      <c r="D26" s="29">
        <v>1.1100861856735854E-3</v>
      </c>
      <c r="E26" s="29">
        <v>1.49E-3</v>
      </c>
      <c r="F26" s="29">
        <v>1.0300000000000001E-3</v>
      </c>
      <c r="G26" s="29">
        <v>5.0000000000000001E-4</v>
      </c>
      <c r="H26" s="29">
        <v>7.6499999999999995E-4</v>
      </c>
      <c r="I26" s="29">
        <v>9.810000000000001E-4</v>
      </c>
      <c r="J26" s="29">
        <v>2.5599999999999999E-4</v>
      </c>
      <c r="K26" s="29">
        <v>6.1899999999999998E-4</v>
      </c>
      <c r="L26" s="29">
        <v>7.2099999999999996E-4</v>
      </c>
      <c r="M26" s="29">
        <v>2.2000000000000001E-4</v>
      </c>
      <c r="N26" s="29">
        <v>4.7100000000000001E-4</v>
      </c>
      <c r="O26" s="26">
        <v>6.2500000000000001E-4</v>
      </c>
      <c r="P26" s="26">
        <v>1.74E-4</v>
      </c>
      <c r="Q26" s="26">
        <v>3.9950000000000001E-4</v>
      </c>
      <c r="R26" s="26">
        <v>3.2499999999999999E-4</v>
      </c>
    </row>
    <row r="27" spans="1:18" x14ac:dyDescent="0.25">
      <c r="A27" s="26">
        <v>24</v>
      </c>
      <c r="B27" s="29">
        <v>1.9099516779306981E-3</v>
      </c>
      <c r="C27" s="29">
        <v>1.8199234409093544E-3</v>
      </c>
      <c r="D27" s="29">
        <v>1.1399542034366752E-3</v>
      </c>
      <c r="E27" s="29">
        <v>1.49E-3</v>
      </c>
      <c r="F27" s="29">
        <v>1.0499999999999999E-3</v>
      </c>
      <c r="G27" s="29">
        <v>5.1999999999999995E-4</v>
      </c>
      <c r="H27" s="29">
        <v>7.85E-4</v>
      </c>
      <c r="I27" s="29">
        <v>9.5500000000000001E-4</v>
      </c>
      <c r="J27" s="29">
        <v>2.7099999999999997E-4</v>
      </c>
      <c r="K27" s="29">
        <v>6.1300000000000005E-4</v>
      </c>
      <c r="L27" s="29">
        <v>7.3399999999999995E-4</v>
      </c>
      <c r="M27" s="29">
        <v>2.1000000000000001E-4</v>
      </c>
      <c r="N27" s="29">
        <v>4.7199999999999998E-4</v>
      </c>
      <c r="O27" s="26">
        <v>6.2699999999999995E-4</v>
      </c>
      <c r="P27" s="26">
        <v>1.64E-4</v>
      </c>
      <c r="Q27" s="26">
        <v>3.9549999999999996E-4</v>
      </c>
      <c r="R27" s="26">
        <v>3.4099999999999999E-4</v>
      </c>
    </row>
    <row r="28" spans="1:18" x14ac:dyDescent="0.25">
      <c r="A28" s="26">
        <v>25</v>
      </c>
      <c r="B28" s="29">
        <v>1.9300023518020108E-3</v>
      </c>
      <c r="C28" s="29">
        <v>1.7700490602875357E-3</v>
      </c>
      <c r="D28" s="29">
        <v>1.159991137790566E-3</v>
      </c>
      <c r="E28" s="29">
        <v>1.47E-3</v>
      </c>
      <c r="F28" s="29">
        <v>1.07E-3</v>
      </c>
      <c r="G28" s="29">
        <v>5.4000000000000001E-4</v>
      </c>
      <c r="H28" s="29">
        <v>8.0500000000000005E-4</v>
      </c>
      <c r="I28" s="29">
        <v>9.19E-4</v>
      </c>
      <c r="J28" s="29">
        <v>2.8200000000000002E-4</v>
      </c>
      <c r="K28" s="29">
        <v>6.0099999999999997E-4</v>
      </c>
      <c r="L28" s="29">
        <v>7.54E-4</v>
      </c>
      <c r="M28" s="29">
        <v>2.05E-4</v>
      </c>
      <c r="N28" s="29">
        <v>4.8000000000000001E-4</v>
      </c>
      <c r="O28" s="26">
        <v>6.3500000000000004E-4</v>
      </c>
      <c r="P28" s="26">
        <v>1.5799999999999999E-4</v>
      </c>
      <c r="Q28" s="26">
        <v>3.9650000000000004E-4</v>
      </c>
      <c r="R28" s="26">
        <v>3.59E-4</v>
      </c>
    </row>
    <row r="29" spans="1:18" x14ac:dyDescent="0.25">
      <c r="A29" s="26">
        <v>26</v>
      </c>
      <c r="B29" s="29">
        <v>1.9599975097191582E-3</v>
      </c>
      <c r="C29" s="29">
        <v>1.729956909175448E-3</v>
      </c>
      <c r="D29" s="29">
        <v>1.1900386080914835E-3</v>
      </c>
      <c r="E29" s="29">
        <v>1.47E-3</v>
      </c>
      <c r="F29" s="29">
        <v>1.1199999999999999E-3</v>
      </c>
      <c r="G29" s="29">
        <v>5.5999999999999995E-4</v>
      </c>
      <c r="H29" s="29">
        <v>8.4000000000000003E-4</v>
      </c>
      <c r="I29" s="29">
        <v>9.0499999999999999E-4</v>
      </c>
      <c r="J29" s="29">
        <v>2.9500000000000001E-4</v>
      </c>
      <c r="K29" s="29">
        <v>5.9999999999999995E-4</v>
      </c>
      <c r="L29" s="29">
        <v>7.7099999999999998E-4</v>
      </c>
      <c r="M29" s="29">
        <v>2.12E-4</v>
      </c>
      <c r="N29" s="29">
        <v>4.9200000000000003E-4</v>
      </c>
      <c r="O29" s="26">
        <v>6.4000000000000005E-4</v>
      </c>
      <c r="P29" s="26">
        <v>1.6100000000000001E-4</v>
      </c>
      <c r="Q29" s="26">
        <v>4.0050000000000003E-4</v>
      </c>
      <c r="R29" s="26">
        <v>3.7800000000000003E-4</v>
      </c>
    </row>
    <row r="30" spans="1:18" x14ac:dyDescent="0.25">
      <c r="A30" s="26">
        <v>27</v>
      </c>
      <c r="B30" s="29">
        <v>1.9899515884334337E-3</v>
      </c>
      <c r="C30" s="29">
        <v>1.7100038653190736E-3</v>
      </c>
      <c r="D30" s="29">
        <v>1.219985764096131E-3</v>
      </c>
      <c r="E30" s="29">
        <v>1.4599999999999999E-3</v>
      </c>
      <c r="F30" s="29">
        <v>1.17E-3</v>
      </c>
      <c r="G30" s="29">
        <v>5.9999999999999995E-4</v>
      </c>
      <c r="H30" s="29">
        <v>8.8500000000000004E-4</v>
      </c>
      <c r="I30" s="29">
        <v>9.0600000000000001E-4</v>
      </c>
      <c r="J30" s="29">
        <v>3.1100000000000002E-4</v>
      </c>
      <c r="K30" s="29">
        <v>6.0899999999999995E-4</v>
      </c>
      <c r="L30" s="29">
        <v>7.76E-4</v>
      </c>
      <c r="M30" s="29">
        <v>2.2499999999999999E-4</v>
      </c>
      <c r="N30" s="29">
        <v>5.0100000000000003E-4</v>
      </c>
      <c r="O30" s="26">
        <v>6.3500000000000004E-4</v>
      </c>
      <c r="P30" s="26">
        <v>1.6799999999999999E-4</v>
      </c>
      <c r="Q30" s="26">
        <v>4.015E-4</v>
      </c>
      <c r="R30" s="26">
        <v>3.9800000000000002E-4</v>
      </c>
    </row>
    <row r="31" spans="1:18" x14ac:dyDescent="0.25">
      <c r="A31" s="26">
        <v>28</v>
      </c>
      <c r="B31" s="29">
        <v>2.029950915190197E-3</v>
      </c>
      <c r="C31" s="29">
        <v>1.7000334555598647E-3</v>
      </c>
      <c r="D31" s="29">
        <v>1.2600066909920669E-3</v>
      </c>
      <c r="E31" s="29">
        <v>1.48E-3</v>
      </c>
      <c r="F31" s="29">
        <v>1.17E-3</v>
      </c>
      <c r="G31" s="29">
        <v>6.3000000000000003E-4</v>
      </c>
      <c r="H31" s="29">
        <v>8.9999999999999998E-4</v>
      </c>
      <c r="I31" s="29">
        <v>9.2400000000000002E-4</v>
      </c>
      <c r="J31" s="29">
        <v>3.3100000000000002E-4</v>
      </c>
      <c r="K31" s="29">
        <v>6.2799999999999998E-4</v>
      </c>
      <c r="L31" s="29">
        <v>7.7399999999999995E-4</v>
      </c>
      <c r="M31" s="29">
        <v>2.3699999999999999E-4</v>
      </c>
      <c r="N31" s="29">
        <v>5.0600000000000005E-4</v>
      </c>
      <c r="O31" s="26">
        <v>6.2399999999999999E-4</v>
      </c>
      <c r="P31" s="26">
        <v>1.75E-4</v>
      </c>
      <c r="Q31" s="26">
        <v>3.9950000000000001E-4</v>
      </c>
      <c r="R31" s="26">
        <v>4.2200000000000001E-4</v>
      </c>
    </row>
    <row r="32" spans="1:18" x14ac:dyDescent="0.25">
      <c r="A32" s="26">
        <v>29</v>
      </c>
      <c r="B32" s="29">
        <v>2.0799741645314302E-3</v>
      </c>
      <c r="C32" s="29">
        <v>1.7100144741627338E-3</v>
      </c>
      <c r="D32" s="29">
        <v>1.2999699081039792E-3</v>
      </c>
      <c r="E32" s="29">
        <v>1.5100000000000001E-3</v>
      </c>
      <c r="F32" s="29">
        <v>1.15E-3</v>
      </c>
      <c r="G32" s="29">
        <v>6.6E-4</v>
      </c>
      <c r="H32" s="29">
        <v>9.0499999999999999E-4</v>
      </c>
      <c r="I32" s="29">
        <v>9.5699999999999995E-4</v>
      </c>
      <c r="J32" s="29">
        <v>3.5599999999999998E-4</v>
      </c>
      <c r="K32" s="29">
        <v>6.5700000000000003E-4</v>
      </c>
      <c r="L32" s="29">
        <v>7.7800000000000005E-4</v>
      </c>
      <c r="M32" s="29">
        <v>2.4800000000000001E-4</v>
      </c>
      <c r="N32" s="29">
        <v>5.13E-4</v>
      </c>
      <c r="O32" s="26">
        <v>6.1899999999999998E-4</v>
      </c>
      <c r="P32" s="26">
        <v>1.8000000000000001E-4</v>
      </c>
      <c r="Q32" s="26">
        <v>3.9950000000000001E-4</v>
      </c>
      <c r="R32" s="26">
        <v>4.46E-4</v>
      </c>
    </row>
    <row r="33" spans="1:18" x14ac:dyDescent="0.25">
      <c r="A33" s="26">
        <v>30</v>
      </c>
      <c r="B33" s="29">
        <v>2.1299828550778357E-3</v>
      </c>
      <c r="C33" s="29">
        <v>1.7299582463465553E-3</v>
      </c>
      <c r="D33" s="29">
        <v>1.349974746561685E-3</v>
      </c>
      <c r="E33" s="29">
        <v>1.5399999999999999E-3</v>
      </c>
      <c r="F33" s="29">
        <v>1.14E-3</v>
      </c>
      <c r="G33" s="29">
        <v>6.8000000000000005E-4</v>
      </c>
      <c r="H33" s="29">
        <v>9.1E-4</v>
      </c>
      <c r="I33" s="29">
        <v>9.7300000000000002E-4</v>
      </c>
      <c r="J33" s="29">
        <v>3.7199999999999999E-4</v>
      </c>
      <c r="K33" s="29">
        <v>6.7299999999999999E-4</v>
      </c>
      <c r="L33" s="29">
        <v>8.0000000000000004E-4</v>
      </c>
      <c r="M33" s="29">
        <v>2.6499999999999999E-4</v>
      </c>
      <c r="N33" s="29">
        <v>5.3300000000000005E-4</v>
      </c>
      <c r="O33" s="26">
        <v>6.2799999999999998E-4</v>
      </c>
      <c r="P33" s="26">
        <v>1.9000000000000001E-4</v>
      </c>
      <c r="Q33" s="26">
        <v>4.0899999999999997E-4</v>
      </c>
      <c r="R33" s="26">
        <v>4.75E-4</v>
      </c>
    </row>
    <row r="34" spans="1:18" x14ac:dyDescent="0.25">
      <c r="A34" s="26">
        <v>31</v>
      </c>
      <c r="B34" s="29">
        <v>2.1900252268327244E-3</v>
      </c>
      <c r="C34" s="29">
        <v>1.7800104502287725E-3</v>
      </c>
      <c r="D34" s="29">
        <v>1.4000745166013993E-3</v>
      </c>
      <c r="E34" s="29">
        <v>1.58E-3</v>
      </c>
      <c r="F34" s="29">
        <v>1.1299999999999999E-3</v>
      </c>
      <c r="G34" s="29">
        <v>7.2999999999999996E-4</v>
      </c>
      <c r="H34" s="29">
        <v>9.3000000000000005E-4</v>
      </c>
      <c r="I34" s="29">
        <v>9.7799999999999992E-4</v>
      </c>
      <c r="J34" s="29">
        <v>3.8499999999999998E-4</v>
      </c>
      <c r="K34" s="29">
        <v>6.8199999999999999E-4</v>
      </c>
      <c r="L34" s="29">
        <v>8.3699999999999996E-4</v>
      </c>
      <c r="M34" s="29">
        <v>2.8899999999999998E-4</v>
      </c>
      <c r="N34" s="29">
        <v>5.6300000000000002E-4</v>
      </c>
      <c r="O34" s="26">
        <v>6.4899999999999995E-4</v>
      </c>
      <c r="P34" s="26">
        <v>2.05E-4</v>
      </c>
      <c r="Q34" s="26">
        <v>4.2699999999999997E-4</v>
      </c>
      <c r="R34" s="26">
        <v>5.0500000000000002E-4</v>
      </c>
    </row>
    <row r="35" spans="1:18" x14ac:dyDescent="0.25">
      <c r="A35" s="26">
        <v>32</v>
      </c>
      <c r="B35" s="29">
        <v>2.2500258754564752E-3</v>
      </c>
      <c r="C35" s="29">
        <v>1.8300084513498485E-3</v>
      </c>
      <c r="D35" s="29">
        <v>1.4499668471283332E-3</v>
      </c>
      <c r="E35" s="29">
        <v>1.64E-3</v>
      </c>
      <c r="F35" s="29">
        <v>1.1299999999999999E-3</v>
      </c>
      <c r="G35" s="29">
        <v>7.6999999999999996E-4</v>
      </c>
      <c r="H35" s="29">
        <v>9.5E-4</v>
      </c>
      <c r="I35" s="29">
        <v>1.01E-3</v>
      </c>
      <c r="J35" s="29">
        <v>4.1100000000000002E-4</v>
      </c>
      <c r="K35" s="29">
        <v>7.1100000000000004E-4</v>
      </c>
      <c r="L35" s="29">
        <v>8.8599999999999996E-4</v>
      </c>
      <c r="M35" s="29">
        <v>3.1E-4</v>
      </c>
      <c r="N35" s="29">
        <v>5.9800000000000001E-4</v>
      </c>
      <c r="O35" s="26">
        <v>6.8000000000000005E-4</v>
      </c>
      <c r="P35" s="26">
        <v>2.1699999999999999E-4</v>
      </c>
      <c r="Q35" s="26">
        <v>4.4850000000000001E-4</v>
      </c>
      <c r="R35" s="26">
        <v>5.3799999999999996E-4</v>
      </c>
    </row>
    <row r="36" spans="1:18" x14ac:dyDescent="0.25">
      <c r="A36" s="26">
        <v>33</v>
      </c>
      <c r="B36" s="29">
        <v>2.3199742456314408E-3</v>
      </c>
      <c r="C36" s="29">
        <v>1.9099723012038913E-3</v>
      </c>
      <c r="D36" s="29">
        <v>1.499967828276235E-3</v>
      </c>
      <c r="E36" s="29">
        <v>1.6999999999999999E-3</v>
      </c>
      <c r="F36" s="29">
        <v>1.15E-3</v>
      </c>
      <c r="G36" s="29">
        <v>8.1999999999999998E-4</v>
      </c>
      <c r="H36" s="29">
        <v>9.8499999999999998E-4</v>
      </c>
      <c r="I36" s="29">
        <v>1.0679999999999999E-3</v>
      </c>
      <c r="J36" s="29">
        <v>4.4999999999999999E-4</v>
      </c>
      <c r="K36" s="29">
        <v>7.5900000000000002E-4</v>
      </c>
      <c r="L36" s="29">
        <v>9.5E-4</v>
      </c>
      <c r="M36" s="29">
        <v>3.2400000000000001E-4</v>
      </c>
      <c r="N36" s="29">
        <v>6.3699999999999998E-4</v>
      </c>
      <c r="O36" s="26">
        <v>7.2199999999999999E-4</v>
      </c>
      <c r="P36" s="26">
        <v>2.24E-4</v>
      </c>
      <c r="Q36" s="26">
        <v>4.73E-4</v>
      </c>
      <c r="R36" s="26">
        <v>5.7399999999999997E-4</v>
      </c>
    </row>
    <row r="37" spans="1:18" x14ac:dyDescent="0.25">
      <c r="A37" s="26">
        <v>34</v>
      </c>
      <c r="B37" s="29">
        <v>2.3999724148441341E-3</v>
      </c>
      <c r="C37" s="29">
        <v>2.000055936797307E-3</v>
      </c>
      <c r="D37" s="29">
        <v>1.5800258050506538E-3</v>
      </c>
      <c r="E37" s="29">
        <v>1.7899999999999999E-3</v>
      </c>
      <c r="F37" s="29">
        <v>1.1800000000000001E-3</v>
      </c>
      <c r="G37" s="29">
        <v>8.8000000000000003E-4</v>
      </c>
      <c r="H37" s="29">
        <v>1.0300000000000001E-3</v>
      </c>
      <c r="I37" s="29">
        <v>1.152E-3</v>
      </c>
      <c r="J37" s="29">
        <v>5.0100000000000003E-4</v>
      </c>
      <c r="K37" s="29">
        <v>8.2700000000000004E-4</v>
      </c>
      <c r="L37" s="29">
        <v>1.018E-3</v>
      </c>
      <c r="M37" s="29">
        <v>3.3199999999999999E-4</v>
      </c>
      <c r="N37" s="29">
        <v>6.7500000000000004E-4</v>
      </c>
      <c r="O37" s="26">
        <v>7.67E-4</v>
      </c>
      <c r="P37" s="26">
        <v>2.2800000000000001E-4</v>
      </c>
      <c r="Q37" s="26">
        <v>4.975E-4</v>
      </c>
      <c r="R37" s="26">
        <v>6.1399999999999996E-4</v>
      </c>
    </row>
    <row r="38" spans="1:18" x14ac:dyDescent="0.25">
      <c r="A38" s="26">
        <v>35</v>
      </c>
      <c r="B38" s="29">
        <v>2.5099727357305308E-3</v>
      </c>
      <c r="C38" s="29">
        <v>2.1099460244895759E-3</v>
      </c>
      <c r="D38" s="29">
        <v>1.6499737525400475E-3</v>
      </c>
      <c r="E38" s="29">
        <v>1.8799999999999999E-3</v>
      </c>
      <c r="F38" s="29">
        <v>1.2099999999999999E-3</v>
      </c>
      <c r="G38" s="29">
        <v>9.7000000000000005E-4</v>
      </c>
      <c r="H38" s="29">
        <v>1.09E-3</v>
      </c>
      <c r="I38" s="29">
        <v>1.2019999999999999E-3</v>
      </c>
      <c r="J38" s="29">
        <v>5.3600000000000002E-4</v>
      </c>
      <c r="K38" s="29">
        <v>8.6899999999999998E-4</v>
      </c>
      <c r="L38" s="29">
        <v>1.08E-3</v>
      </c>
      <c r="M38" s="29">
        <v>3.4299999999999999E-4</v>
      </c>
      <c r="N38" s="29">
        <v>7.1199999999999996E-4</v>
      </c>
      <c r="O38" s="26">
        <v>8.0800000000000002E-4</v>
      </c>
      <c r="P38" s="26">
        <v>2.3499999999999999E-4</v>
      </c>
      <c r="Q38" s="26">
        <v>5.2150000000000005E-4</v>
      </c>
      <c r="R38" s="26">
        <v>6.6799999999999997E-4</v>
      </c>
    </row>
    <row r="39" spans="1:18" x14ac:dyDescent="0.25">
      <c r="A39" s="26">
        <v>36</v>
      </c>
      <c r="B39" s="29">
        <v>2.6400281745603527E-3</v>
      </c>
      <c r="C39" s="29">
        <v>2.2400449339267511E-3</v>
      </c>
      <c r="D39" s="29">
        <v>1.7600674841511815E-3</v>
      </c>
      <c r="E39" s="29">
        <v>2E-3</v>
      </c>
      <c r="F39" s="29">
        <v>1.2800000000000001E-3</v>
      </c>
      <c r="G39" s="29">
        <v>1.0300000000000001E-3</v>
      </c>
      <c r="H39" s="29">
        <v>1.155E-3</v>
      </c>
      <c r="I39" s="29">
        <v>1.2359999999999999E-3</v>
      </c>
      <c r="J39" s="29">
        <v>5.62E-4</v>
      </c>
      <c r="K39" s="29">
        <v>8.9899999999999995E-4</v>
      </c>
      <c r="L39" s="29">
        <v>1.14E-3</v>
      </c>
      <c r="M39" s="29">
        <v>3.6200000000000002E-4</v>
      </c>
      <c r="N39" s="29">
        <v>7.5100000000000004E-4</v>
      </c>
      <c r="O39" s="26">
        <v>8.4800000000000001E-4</v>
      </c>
      <c r="P39" s="26">
        <v>2.4600000000000002E-4</v>
      </c>
      <c r="Q39" s="26">
        <v>5.4699999999999996E-4</v>
      </c>
      <c r="R39" s="26">
        <v>7.0500000000000001E-4</v>
      </c>
    </row>
    <row r="40" spans="1:18" x14ac:dyDescent="0.25">
      <c r="A40" s="26">
        <v>37</v>
      </c>
      <c r="B40" s="29">
        <v>2.8000361156619085E-3</v>
      </c>
      <c r="C40" s="29">
        <v>2.3999869636085747E-3</v>
      </c>
      <c r="D40" s="29">
        <v>1.8899891381849441E-3</v>
      </c>
      <c r="E40" s="29">
        <v>2.14E-3</v>
      </c>
      <c r="F40" s="29">
        <v>1.34E-3</v>
      </c>
      <c r="G40" s="29">
        <v>1.1100000000000001E-3</v>
      </c>
      <c r="H40" s="29">
        <v>1.225E-3</v>
      </c>
      <c r="I40" s="29">
        <v>1.32E-3</v>
      </c>
      <c r="J40" s="29">
        <v>6.1300000000000005E-4</v>
      </c>
      <c r="K40" s="29">
        <v>9.6699999999999998E-4</v>
      </c>
      <c r="L40" s="29">
        <v>1.207E-3</v>
      </c>
      <c r="M40" s="29">
        <v>3.88E-4</v>
      </c>
      <c r="N40" s="29">
        <v>7.9799999999999999E-4</v>
      </c>
      <c r="O40" s="26">
        <v>8.9400000000000005E-4</v>
      </c>
      <c r="P40" s="26">
        <v>2.6200000000000003E-4</v>
      </c>
      <c r="Q40" s="26">
        <v>5.7800000000000006E-4</v>
      </c>
      <c r="R40" s="26">
        <v>7.5100000000000004E-4</v>
      </c>
    </row>
    <row r="41" spans="1:18" x14ac:dyDescent="0.25">
      <c r="A41" s="26">
        <v>38</v>
      </c>
      <c r="B41" s="29">
        <v>3.009952597359724E-3</v>
      </c>
      <c r="C41" s="29">
        <v>2.5800328327315837E-3</v>
      </c>
      <c r="D41" s="29">
        <v>2.0399251585831871E-3</v>
      </c>
      <c r="E41" s="29">
        <v>2.31E-3</v>
      </c>
      <c r="F41" s="29">
        <v>1.4400000000000001E-3</v>
      </c>
      <c r="G41" s="29">
        <v>1.17E-3</v>
      </c>
      <c r="H41" s="29">
        <v>1.305E-3</v>
      </c>
      <c r="I41" s="29">
        <v>1.456E-3</v>
      </c>
      <c r="J41" s="29">
        <v>6.8999999999999997E-4</v>
      </c>
      <c r="K41" s="29">
        <v>1.073E-3</v>
      </c>
      <c r="L41" s="29">
        <v>1.294E-3</v>
      </c>
      <c r="M41" s="29">
        <v>4.2099999999999999E-4</v>
      </c>
      <c r="N41" s="29">
        <v>8.5800000000000004E-4</v>
      </c>
      <c r="O41" s="26">
        <v>9.5600000000000004E-4</v>
      </c>
      <c r="P41" s="26">
        <v>2.8400000000000002E-4</v>
      </c>
      <c r="Q41" s="26">
        <v>6.2E-4</v>
      </c>
      <c r="R41" s="26">
        <v>8.0599999999999997E-4</v>
      </c>
    </row>
    <row r="42" spans="1:18" x14ac:dyDescent="0.25">
      <c r="A42" s="26">
        <v>39</v>
      </c>
      <c r="B42" s="29">
        <v>3.2499627082634283E-3</v>
      </c>
      <c r="C42" s="29">
        <v>2.7899296248626703E-3</v>
      </c>
      <c r="D42" s="29">
        <v>2.220019879620525E-3</v>
      </c>
      <c r="E42" s="29">
        <v>2.5100000000000001E-3</v>
      </c>
      <c r="F42" s="29">
        <v>1.5399999999999999E-3</v>
      </c>
      <c r="G42" s="29">
        <v>1.23E-3</v>
      </c>
      <c r="H42" s="29">
        <v>1.3849999999999999E-3</v>
      </c>
      <c r="I42" s="29">
        <v>1.6429999999999999E-3</v>
      </c>
      <c r="J42" s="29">
        <v>7.9299999999999998E-4</v>
      </c>
      <c r="K42" s="29">
        <v>1.2179999999999999E-3</v>
      </c>
      <c r="L42" s="29">
        <v>1.4090000000000001E-3</v>
      </c>
      <c r="M42" s="29">
        <v>4.57E-4</v>
      </c>
      <c r="N42" s="29">
        <v>9.3300000000000002E-4</v>
      </c>
      <c r="O42" s="26">
        <v>1.0380000000000001E-3</v>
      </c>
      <c r="P42" s="26">
        <v>3.0699999999999998E-4</v>
      </c>
      <c r="Q42" s="26">
        <v>6.7250000000000003E-4</v>
      </c>
      <c r="R42" s="26">
        <v>8.7299999999999997E-4</v>
      </c>
    </row>
    <row r="43" spans="1:18" x14ac:dyDescent="0.25">
      <c r="A43" s="26">
        <v>40</v>
      </c>
      <c r="B43" s="29">
        <v>3.5300002954110972E-3</v>
      </c>
      <c r="C43" s="29">
        <v>3.0200822673822156E-3</v>
      </c>
      <c r="D43" s="29">
        <v>2.4200282797590404E-3</v>
      </c>
      <c r="E43" s="29">
        <v>2.7200000000000002E-3</v>
      </c>
      <c r="F43" s="29">
        <v>1.65E-3</v>
      </c>
      <c r="G43" s="29">
        <v>1.2999999999999999E-3</v>
      </c>
      <c r="H43" s="29">
        <v>1.475E-3</v>
      </c>
      <c r="I43" s="29">
        <v>1.769E-3</v>
      </c>
      <c r="J43" s="29">
        <v>8.5999999999999998E-4</v>
      </c>
      <c r="K43" s="29">
        <v>1.315E-3</v>
      </c>
      <c r="L43" s="29">
        <v>1.5560000000000001E-3</v>
      </c>
      <c r="M43" s="29">
        <v>4.9200000000000003E-4</v>
      </c>
      <c r="N43" s="29">
        <v>1.024E-3</v>
      </c>
      <c r="O43" s="26">
        <v>1.1440000000000001E-3</v>
      </c>
      <c r="P43" s="26">
        <v>3.3E-4</v>
      </c>
      <c r="Q43" s="26">
        <v>7.3700000000000002E-4</v>
      </c>
      <c r="R43" s="26">
        <v>9.5200000000000005E-4</v>
      </c>
    </row>
    <row r="44" spans="1:18" x14ac:dyDescent="0.25">
      <c r="A44" s="26">
        <v>41</v>
      </c>
      <c r="B44" s="29">
        <v>3.8400488579487069E-3</v>
      </c>
      <c r="C44" s="29">
        <v>3.2899029490930918E-3</v>
      </c>
      <c r="D44" s="29">
        <v>2.6400292452103983E-3</v>
      </c>
      <c r="E44" s="29">
        <v>2.97E-3</v>
      </c>
      <c r="F44" s="29">
        <v>1.7899999999999999E-3</v>
      </c>
      <c r="G44" s="29">
        <v>1.3799999999999999E-3</v>
      </c>
      <c r="H44" s="29">
        <v>1.585E-3</v>
      </c>
      <c r="I44" s="29">
        <v>1.861E-3</v>
      </c>
      <c r="J44" s="29">
        <v>9.1100000000000003E-4</v>
      </c>
      <c r="K44" s="29">
        <v>1.3860000000000001E-3</v>
      </c>
      <c r="L44" s="29">
        <v>1.74E-3</v>
      </c>
      <c r="M44" s="29">
        <v>5.3200000000000003E-4</v>
      </c>
      <c r="N44" s="29">
        <v>1.1360000000000001E-3</v>
      </c>
      <c r="O44" s="26">
        <v>1.2769999999999999E-3</v>
      </c>
      <c r="P44" s="26">
        <v>3.57E-4</v>
      </c>
      <c r="Q44" s="26">
        <v>8.1700000000000002E-4</v>
      </c>
      <c r="R44" s="26">
        <v>1.0430000000000001E-3</v>
      </c>
    </row>
    <row r="45" spans="1:18" x14ac:dyDescent="0.25">
      <c r="A45" s="26">
        <v>42</v>
      </c>
      <c r="B45" s="29">
        <v>4.170002861542235E-3</v>
      </c>
      <c r="C45" s="29">
        <v>3.5600410424772039E-3</v>
      </c>
      <c r="D45" s="29">
        <v>2.8699275063219271E-3</v>
      </c>
      <c r="E45" s="29">
        <v>3.2200000000000002E-3</v>
      </c>
      <c r="F45" s="29">
        <v>1.9599999999999999E-3</v>
      </c>
      <c r="G45" s="29">
        <v>1.48E-3</v>
      </c>
      <c r="H45" s="29">
        <v>1.72E-3</v>
      </c>
      <c r="I45" s="29">
        <v>2.0479999999999999E-3</v>
      </c>
      <c r="J45" s="29">
        <v>1.0150000000000001E-3</v>
      </c>
      <c r="K45" s="29">
        <v>1.5319999999999999E-3</v>
      </c>
      <c r="L45" s="29">
        <v>1.957E-3</v>
      </c>
      <c r="M45" s="29">
        <v>5.8100000000000003E-4</v>
      </c>
      <c r="N45" s="29">
        <v>1.2689999999999999E-3</v>
      </c>
      <c r="O45" s="26">
        <v>1.436E-3</v>
      </c>
      <c r="P45" s="26">
        <v>3.8900000000000002E-4</v>
      </c>
      <c r="Q45" s="26">
        <v>9.1250000000000001E-4</v>
      </c>
      <c r="R45" s="26">
        <v>1.1509999999999999E-3</v>
      </c>
    </row>
    <row r="46" spans="1:18" x14ac:dyDescent="0.25">
      <c r="A46" s="26">
        <v>43</v>
      </c>
      <c r="B46" s="29">
        <v>4.5299887620548476E-3</v>
      </c>
      <c r="C46" s="29">
        <v>3.8700145546925369E-3</v>
      </c>
      <c r="D46" s="29">
        <v>3.0900179179222304E-3</v>
      </c>
      <c r="E46" s="29">
        <v>3.49E-3</v>
      </c>
      <c r="F46" s="29">
        <v>2.15E-3</v>
      </c>
      <c r="G46" s="29">
        <v>1.5900000000000001E-3</v>
      </c>
      <c r="H46" s="29">
        <v>1.8699999999999999E-3</v>
      </c>
      <c r="I46" s="29">
        <v>2.3310000000000002E-3</v>
      </c>
      <c r="J46" s="29">
        <v>1.1739999999999999E-3</v>
      </c>
      <c r="K46" s="29">
        <v>1.753E-3</v>
      </c>
      <c r="L46" s="29">
        <v>2.202E-3</v>
      </c>
      <c r="M46" s="29">
        <v>6.4199999999999999E-4</v>
      </c>
      <c r="N46" s="29">
        <v>1.4220000000000001E-3</v>
      </c>
      <c r="O46" s="26">
        <v>1.6149999999999999E-3</v>
      </c>
      <c r="P46" s="26">
        <v>4.2999999999999999E-4</v>
      </c>
      <c r="Q46" s="26">
        <v>1.0225E-3</v>
      </c>
      <c r="R46" s="26">
        <v>1.2780000000000001E-3</v>
      </c>
    </row>
    <row r="47" spans="1:18" x14ac:dyDescent="0.25">
      <c r="A47" s="26">
        <v>44</v>
      </c>
      <c r="B47" s="29">
        <v>4.9199779188760619E-3</v>
      </c>
      <c r="C47" s="29">
        <v>4.1899460971375965E-3</v>
      </c>
      <c r="D47" s="29">
        <v>3.3200269559537933E-3</v>
      </c>
      <c r="E47" s="29">
        <v>3.7499999999999999E-3</v>
      </c>
      <c r="F47" s="29">
        <v>2.3900000000000002E-3</v>
      </c>
      <c r="G47" s="29">
        <v>1.72E-3</v>
      </c>
      <c r="H47" s="29">
        <v>2.055E-3</v>
      </c>
      <c r="I47" s="29">
        <v>2.7100000000000002E-3</v>
      </c>
      <c r="J47" s="29">
        <v>1.387E-3</v>
      </c>
      <c r="K47" s="29">
        <v>2.049E-3</v>
      </c>
      <c r="L47" s="29">
        <v>2.4710000000000001E-3</v>
      </c>
      <c r="M47" s="29">
        <v>7.1599999999999995E-4</v>
      </c>
      <c r="N47" s="29">
        <v>1.5939999999999999E-3</v>
      </c>
      <c r="O47" s="26">
        <v>1.812E-3</v>
      </c>
      <c r="P47" s="26">
        <v>4.7899999999999999E-4</v>
      </c>
      <c r="Q47" s="26">
        <v>1.1455E-3</v>
      </c>
      <c r="R47" s="26">
        <v>1.426E-3</v>
      </c>
    </row>
    <row r="48" spans="1:18" x14ac:dyDescent="0.25">
      <c r="A48" s="26">
        <v>45</v>
      </c>
      <c r="B48" s="29">
        <v>5.3499840148064992E-3</v>
      </c>
      <c r="C48" s="29">
        <v>4.5500186096162857E-3</v>
      </c>
      <c r="D48" s="29">
        <v>3.5600100879528778E-3</v>
      </c>
      <c r="E48" s="29">
        <v>4.0600000000000002E-3</v>
      </c>
      <c r="F48" s="29">
        <v>2.65E-3</v>
      </c>
      <c r="G48" s="29">
        <v>1.8699999999999999E-3</v>
      </c>
      <c r="H48" s="29">
        <v>2.2599999999999999E-3</v>
      </c>
      <c r="I48" s="29">
        <v>3.0200000000000001E-3</v>
      </c>
      <c r="J48" s="29">
        <v>1.5740000000000001E-3</v>
      </c>
      <c r="K48" s="29">
        <v>2.297E-3</v>
      </c>
      <c r="L48" s="29">
        <v>2.7780000000000001E-3</v>
      </c>
      <c r="M48" s="29">
        <v>8.0000000000000004E-4</v>
      </c>
      <c r="N48" s="29">
        <v>1.789E-3</v>
      </c>
      <c r="O48" s="26">
        <v>2.0370000000000002E-3</v>
      </c>
      <c r="P48" s="26">
        <v>5.3499999999999999E-4</v>
      </c>
      <c r="Q48" s="26">
        <v>1.286E-3</v>
      </c>
      <c r="R48" s="26">
        <v>1.5969999999999999E-3</v>
      </c>
    </row>
    <row r="49" spans="1:18" x14ac:dyDescent="0.25">
      <c r="A49" s="26">
        <v>46</v>
      </c>
      <c r="B49" s="29">
        <v>5.8299530908372975E-3</v>
      </c>
      <c r="C49" s="29">
        <v>4.9200595306588893E-3</v>
      </c>
      <c r="D49" s="29">
        <v>3.8000176199312567E-3</v>
      </c>
      <c r="E49" s="29">
        <v>4.3600000000000002E-3</v>
      </c>
      <c r="F49" s="29">
        <v>2.8999999999999998E-3</v>
      </c>
      <c r="G49" s="29">
        <v>2.0500000000000002E-3</v>
      </c>
      <c r="H49" s="29">
        <v>2.4750000000000002E-3</v>
      </c>
      <c r="I49" s="29">
        <v>3.2690000000000002E-3</v>
      </c>
      <c r="J49" s="29">
        <v>1.725E-3</v>
      </c>
      <c r="K49" s="29">
        <v>2.4970000000000001E-3</v>
      </c>
      <c r="L49" s="29">
        <v>3.1020000000000002E-3</v>
      </c>
      <c r="M49" s="29">
        <v>8.7600000000000004E-4</v>
      </c>
      <c r="N49" s="29">
        <v>1.9889999999999999E-3</v>
      </c>
      <c r="O49" s="26">
        <v>2.274E-3</v>
      </c>
      <c r="P49" s="26">
        <v>5.8600000000000004E-4</v>
      </c>
      <c r="Q49" s="26">
        <v>1.4300000000000001E-3</v>
      </c>
      <c r="R49" s="26">
        <v>1.794E-3</v>
      </c>
    </row>
    <row r="50" spans="1:18" x14ac:dyDescent="0.25">
      <c r="A50" s="26">
        <v>47</v>
      </c>
      <c r="B50" s="29">
        <v>6.3599994367528178E-3</v>
      </c>
      <c r="C50" s="29">
        <v>5.3200188178018507E-3</v>
      </c>
      <c r="D50" s="29">
        <v>4.0499488336228733E-3</v>
      </c>
      <c r="E50" s="29">
        <v>4.6800000000000001E-3</v>
      </c>
      <c r="F50" s="29">
        <v>3.1700000000000001E-3</v>
      </c>
      <c r="G50" s="29">
        <v>2.2699999999999999E-3</v>
      </c>
      <c r="H50" s="29">
        <v>2.7200000000000002E-3</v>
      </c>
      <c r="I50" s="29">
        <v>3.63E-3</v>
      </c>
      <c r="J50" s="29">
        <v>1.918E-3</v>
      </c>
      <c r="K50" s="29">
        <v>2.774E-3</v>
      </c>
      <c r="L50" s="29">
        <v>3.4480000000000001E-3</v>
      </c>
      <c r="M50" s="29">
        <v>9.4399999999999996E-4</v>
      </c>
      <c r="N50" s="29">
        <v>2.196E-3</v>
      </c>
      <c r="O50" s="26">
        <v>2.5270000000000002E-3</v>
      </c>
      <c r="P50" s="26">
        <v>6.3199999999999997E-4</v>
      </c>
      <c r="Q50" s="26">
        <v>1.5795000000000002E-3</v>
      </c>
      <c r="R50" s="26">
        <v>2.0140000000000002E-3</v>
      </c>
    </row>
    <row r="51" spans="1:18" x14ac:dyDescent="0.25">
      <c r="A51" s="26">
        <v>48</v>
      </c>
      <c r="B51" s="29">
        <v>6.950014868627466E-3</v>
      </c>
      <c r="C51" s="29">
        <v>5.7399991625104408E-3</v>
      </c>
      <c r="D51" s="29">
        <v>4.3300085968069587E-3</v>
      </c>
      <c r="E51" s="29">
        <v>5.0299999999999997E-3</v>
      </c>
      <c r="F51" s="29">
        <v>3.3300000000000001E-3</v>
      </c>
      <c r="G51" s="29">
        <v>2.5000000000000001E-3</v>
      </c>
      <c r="H51" s="29">
        <v>2.9150000000000001E-3</v>
      </c>
      <c r="I51" s="29">
        <v>4.104E-3</v>
      </c>
      <c r="J51" s="29">
        <v>2.1540000000000001E-3</v>
      </c>
      <c r="K51" s="29">
        <v>3.1289999999999998E-3</v>
      </c>
      <c r="L51" s="29">
        <v>3.8240000000000001E-3</v>
      </c>
      <c r="M51" s="29">
        <v>1.011E-3</v>
      </c>
      <c r="N51" s="29">
        <v>2.418E-3</v>
      </c>
      <c r="O51" s="26">
        <v>2.8029999999999999E-3</v>
      </c>
      <c r="P51" s="26">
        <v>6.7699999999999998E-4</v>
      </c>
      <c r="Q51" s="26">
        <v>1.74E-3</v>
      </c>
      <c r="R51" s="26">
        <v>2.2520000000000001E-3</v>
      </c>
    </row>
    <row r="52" spans="1:18" x14ac:dyDescent="0.25">
      <c r="A52" s="26">
        <v>49</v>
      </c>
      <c r="B52" s="29">
        <v>7.6000548167997634E-3</v>
      </c>
      <c r="C52" s="29">
        <v>6.2099265504118465E-3</v>
      </c>
      <c r="D52" s="29">
        <v>4.6299875232292944E-3</v>
      </c>
      <c r="E52" s="29">
        <v>5.4099999999999999E-3</v>
      </c>
      <c r="F52" s="29">
        <v>3.5200000000000001E-3</v>
      </c>
      <c r="G52" s="29">
        <v>2.7799999999999999E-3</v>
      </c>
      <c r="H52" s="29">
        <v>3.15E-3</v>
      </c>
      <c r="I52" s="29">
        <v>4.6930000000000001E-3</v>
      </c>
      <c r="J52" s="29">
        <v>2.4329999999999998E-3</v>
      </c>
      <c r="K52" s="29">
        <v>3.5630000000000002E-3</v>
      </c>
      <c r="L52" s="29">
        <v>4.2370000000000003E-3</v>
      </c>
      <c r="M52" s="29">
        <v>1.083E-3</v>
      </c>
      <c r="N52" s="29">
        <v>2.66E-3</v>
      </c>
      <c r="O52" s="26">
        <v>3.107E-3</v>
      </c>
      <c r="P52" s="26">
        <v>7.2400000000000003E-4</v>
      </c>
      <c r="Q52" s="26">
        <v>1.9155000000000001E-3</v>
      </c>
      <c r="R52" s="26">
        <v>2.5089999999999999E-3</v>
      </c>
    </row>
    <row r="53" spans="1:18" x14ac:dyDescent="0.25">
      <c r="A53" s="26">
        <v>50</v>
      </c>
      <c r="B53" s="29">
        <v>8.3199559567994994E-3</v>
      </c>
      <c r="C53" s="29">
        <v>6.7099969988694734E-3</v>
      </c>
      <c r="D53" s="29">
        <v>4.9600130337692418E-3</v>
      </c>
      <c r="E53" s="29">
        <v>5.8300000000000001E-3</v>
      </c>
      <c r="F53" s="29">
        <v>3.7599999999999999E-3</v>
      </c>
      <c r="G53" s="29">
        <v>3.0799999999999998E-3</v>
      </c>
      <c r="H53" s="29">
        <v>3.4199999999999999E-3</v>
      </c>
      <c r="I53" s="29">
        <v>5.1590000000000004E-3</v>
      </c>
      <c r="J53" s="29">
        <v>2.65E-3</v>
      </c>
      <c r="K53" s="29">
        <v>3.9050000000000001E-3</v>
      </c>
      <c r="L53" s="29">
        <v>4.6899999999999997E-3</v>
      </c>
      <c r="M53" s="29">
        <v>1.2340000000000001E-3</v>
      </c>
      <c r="N53" s="29">
        <v>2.9619999999999998E-3</v>
      </c>
      <c r="O53" s="26">
        <v>3.4399999999999999E-3</v>
      </c>
      <c r="P53" s="26">
        <v>8.2600000000000002E-4</v>
      </c>
      <c r="Q53" s="26">
        <v>2.1329999999999999E-3</v>
      </c>
      <c r="R53" s="26">
        <v>2.7780000000000001E-3</v>
      </c>
    </row>
    <row r="54" spans="1:18" x14ac:dyDescent="0.25">
      <c r="A54" s="26">
        <v>51</v>
      </c>
      <c r="B54" s="29">
        <v>9.1099458604986024E-3</v>
      </c>
      <c r="C54" s="29">
        <v>7.2999863582087375E-3</v>
      </c>
      <c r="D54" s="29">
        <v>5.3100256589649073E-3</v>
      </c>
      <c r="E54" s="29">
        <v>6.3E-3</v>
      </c>
      <c r="F54" s="29">
        <v>4.0600000000000002E-3</v>
      </c>
      <c r="G54" s="29">
        <v>3.4099999999999998E-3</v>
      </c>
      <c r="H54" s="29">
        <v>3.735E-3</v>
      </c>
      <c r="I54" s="29">
        <v>5.5579999999999996E-3</v>
      </c>
      <c r="J54" s="29">
        <v>2.8400000000000001E-3</v>
      </c>
      <c r="K54" s="29">
        <v>4.1989999999999996E-3</v>
      </c>
      <c r="L54" s="29">
        <v>5.182E-3</v>
      </c>
      <c r="M54" s="29">
        <v>1.415E-3</v>
      </c>
      <c r="N54" s="29">
        <v>3.2989999999999998E-3</v>
      </c>
      <c r="O54" s="26">
        <v>3.8040000000000001E-3</v>
      </c>
      <c r="P54" s="26">
        <v>9.4799999999999995E-4</v>
      </c>
      <c r="Q54" s="26">
        <v>2.3760000000000001E-3</v>
      </c>
      <c r="R54" s="26">
        <v>3.0590000000000001E-3</v>
      </c>
    </row>
    <row r="55" spans="1:18" x14ac:dyDescent="0.25">
      <c r="A55" s="26">
        <v>52</v>
      </c>
      <c r="B55" s="29">
        <v>9.9599964879044083E-3</v>
      </c>
      <c r="C55" s="29">
        <v>7.9600173636912904E-3</v>
      </c>
      <c r="D55" s="29">
        <v>5.7000286365861599E-3</v>
      </c>
      <c r="E55" s="29">
        <v>6.8199999999999997E-3</v>
      </c>
      <c r="F55" s="29">
        <v>4.47E-3</v>
      </c>
      <c r="G55" s="29">
        <v>3.79E-3</v>
      </c>
      <c r="H55" s="29">
        <v>4.13E-3</v>
      </c>
      <c r="I55" s="29">
        <v>6.1630000000000001E-3</v>
      </c>
      <c r="J55" s="29">
        <v>3.1289999999999998E-3</v>
      </c>
      <c r="K55" s="29">
        <v>4.646E-3</v>
      </c>
      <c r="L55" s="29">
        <v>5.7239999999999999E-3</v>
      </c>
      <c r="M55" s="29">
        <v>1.632E-3</v>
      </c>
      <c r="N55" s="29">
        <v>3.6779999999999998E-3</v>
      </c>
      <c r="O55" s="26">
        <v>4.2069999999999998E-3</v>
      </c>
      <c r="P55" s="26">
        <v>1.0950000000000001E-3</v>
      </c>
      <c r="Q55" s="26">
        <v>2.6509999999999997E-3</v>
      </c>
      <c r="R55" s="26">
        <v>3.3519999999999999E-3</v>
      </c>
    </row>
    <row r="56" spans="1:18" x14ac:dyDescent="0.25">
      <c r="A56" s="26">
        <v>53</v>
      </c>
      <c r="B56" s="29">
        <v>1.0890040760228828E-2</v>
      </c>
      <c r="C56" s="29">
        <v>8.7100076843619808E-3</v>
      </c>
      <c r="D56" s="29">
        <v>6.1500019839782734E-3</v>
      </c>
      <c r="E56" s="29">
        <v>7.4200000000000004E-3</v>
      </c>
      <c r="F56" s="29">
        <v>4.9300000000000004E-3</v>
      </c>
      <c r="G56" s="29">
        <v>4.1999999999999997E-3</v>
      </c>
      <c r="H56" s="29">
        <v>4.5649999999999996E-3</v>
      </c>
      <c r="I56" s="29">
        <v>6.979E-3</v>
      </c>
      <c r="J56" s="29">
        <v>3.5170000000000002E-3</v>
      </c>
      <c r="K56" s="29">
        <v>5.2480000000000001E-3</v>
      </c>
      <c r="L56" s="29">
        <v>6.3099999999999996E-3</v>
      </c>
      <c r="M56" s="29">
        <v>1.8810000000000001E-3</v>
      </c>
      <c r="N56" s="29">
        <v>4.0959999999999998E-3</v>
      </c>
      <c r="O56" s="26">
        <v>4.646E-3</v>
      </c>
      <c r="P56" s="26">
        <v>1.2639999999999999E-3</v>
      </c>
      <c r="Q56" s="26">
        <v>2.9550000000000002E-3</v>
      </c>
      <c r="R56" s="26">
        <v>3.6589999999999999E-3</v>
      </c>
    </row>
    <row r="57" spans="1:18" x14ac:dyDescent="0.25">
      <c r="A57" s="26">
        <v>54</v>
      </c>
      <c r="B57" s="29">
        <v>1.1900037643859674E-2</v>
      </c>
      <c r="C57" s="29">
        <v>9.5600013985589326E-3</v>
      </c>
      <c r="D57" s="29">
        <v>6.6099338319017776E-3</v>
      </c>
      <c r="E57" s="29">
        <v>8.0700000000000008E-3</v>
      </c>
      <c r="F57" s="29">
        <v>5.4999999999999997E-3</v>
      </c>
      <c r="G57" s="29">
        <v>4.6299999999999996E-3</v>
      </c>
      <c r="H57" s="29">
        <v>5.0650000000000001E-3</v>
      </c>
      <c r="I57" s="29">
        <v>8.0140000000000003E-3</v>
      </c>
      <c r="J57" s="29">
        <v>4.006E-3</v>
      </c>
      <c r="K57" s="29">
        <v>6.0099999999999997E-3</v>
      </c>
      <c r="L57" s="29">
        <v>6.9470000000000001E-3</v>
      </c>
      <c r="M57" s="29">
        <v>2.1679999999999998E-3</v>
      </c>
      <c r="N57" s="29">
        <v>4.5580000000000004E-3</v>
      </c>
      <c r="O57" s="26">
        <v>5.1269999999999996E-3</v>
      </c>
      <c r="P57" s="26">
        <v>1.4610000000000001E-3</v>
      </c>
      <c r="Q57" s="26">
        <v>3.2940000000000001E-3</v>
      </c>
      <c r="R57" s="26">
        <v>3.9880000000000002E-3</v>
      </c>
    </row>
    <row r="58" spans="1:18" x14ac:dyDescent="0.25">
      <c r="A58" s="26">
        <v>55</v>
      </c>
      <c r="B58" s="29">
        <v>1.2999985476485891E-2</v>
      </c>
      <c r="C58" s="29">
        <v>1.0470016813479303E-2</v>
      </c>
      <c r="D58" s="29">
        <v>7.0899855558862607E-3</v>
      </c>
      <c r="E58" s="29">
        <v>8.77E-3</v>
      </c>
      <c r="F58" s="29">
        <v>6.1700000000000001E-3</v>
      </c>
      <c r="G58" s="29">
        <v>5.1000000000000004E-3</v>
      </c>
      <c r="H58" s="29">
        <v>5.6350000000000003E-3</v>
      </c>
      <c r="I58" s="29">
        <v>8.9680000000000003E-3</v>
      </c>
      <c r="J58" s="29">
        <v>4.4010000000000004E-3</v>
      </c>
      <c r="K58" s="29">
        <v>6.685E-3</v>
      </c>
      <c r="L58" s="29">
        <v>7.6280000000000002E-3</v>
      </c>
      <c r="M58" s="29">
        <v>2.49E-3</v>
      </c>
      <c r="N58" s="29">
        <v>5.0590000000000001E-3</v>
      </c>
      <c r="O58" s="26">
        <v>5.6470000000000001E-3</v>
      </c>
      <c r="P58" s="26">
        <v>1.6819999999999999E-3</v>
      </c>
      <c r="Q58" s="26">
        <v>3.6645000000000002E-3</v>
      </c>
      <c r="R58" s="26">
        <v>4.3359999999999996E-3</v>
      </c>
    </row>
    <row r="59" spans="1:18" x14ac:dyDescent="0.25">
      <c r="A59" s="26">
        <v>56</v>
      </c>
      <c r="B59" s="29">
        <v>1.4210003392918166E-2</v>
      </c>
      <c r="C59" s="29">
        <v>1.1459998263192111E-2</v>
      </c>
      <c r="D59" s="29">
        <v>7.5700138580074268E-3</v>
      </c>
      <c r="E59" s="29">
        <v>9.4999999999999998E-3</v>
      </c>
      <c r="F59" s="29">
        <v>6.8799999999999998E-3</v>
      </c>
      <c r="G59" s="29">
        <v>5.6299999999999996E-3</v>
      </c>
      <c r="H59" s="29">
        <v>6.2550000000000001E-3</v>
      </c>
      <c r="I59" s="29">
        <v>9.8099999999999993E-3</v>
      </c>
      <c r="J59" s="29">
        <v>4.7349999999999996E-3</v>
      </c>
      <c r="K59" s="29">
        <v>7.273E-3</v>
      </c>
      <c r="L59" s="29">
        <v>8.3920000000000002E-3</v>
      </c>
      <c r="M59" s="29">
        <v>2.8630000000000001E-3</v>
      </c>
      <c r="N59" s="29">
        <v>5.6280000000000002E-3</v>
      </c>
      <c r="O59" s="26">
        <v>6.2350000000000001E-3</v>
      </c>
      <c r="P59" s="26">
        <v>1.9419999999999999E-3</v>
      </c>
      <c r="Q59" s="26">
        <v>4.0885000000000001E-3</v>
      </c>
      <c r="R59" s="26">
        <v>4.7109999999999999E-3</v>
      </c>
    </row>
    <row r="60" spans="1:18" x14ac:dyDescent="0.25">
      <c r="A60" s="26">
        <v>57</v>
      </c>
      <c r="B60" s="29">
        <v>1.5540031835044973E-2</v>
      </c>
      <c r="C60" s="29">
        <v>1.2489961388815519E-2</v>
      </c>
      <c r="D60" s="29">
        <v>8.0300696236957816E-3</v>
      </c>
      <c r="E60" s="29">
        <v>1.023E-2</v>
      </c>
      <c r="F60" s="29">
        <v>7.6400000000000001E-3</v>
      </c>
      <c r="G60" s="29">
        <v>6.1900000000000002E-3</v>
      </c>
      <c r="H60" s="29">
        <v>6.9150000000000001E-3</v>
      </c>
      <c r="I60" s="29">
        <v>1.0834E-2</v>
      </c>
      <c r="J60" s="29">
        <v>5.2249999999999996E-3</v>
      </c>
      <c r="K60" s="29">
        <v>8.0300000000000007E-3</v>
      </c>
      <c r="L60" s="29">
        <v>9.2289999999999994E-3</v>
      </c>
      <c r="M60" s="29">
        <v>3.3E-3</v>
      </c>
      <c r="N60" s="29">
        <v>6.2649999999999997E-3</v>
      </c>
      <c r="O60" s="26">
        <v>6.8890000000000002E-3</v>
      </c>
      <c r="P60" s="26">
        <v>2.248E-3</v>
      </c>
      <c r="Q60" s="26">
        <v>4.5684999999999996E-3</v>
      </c>
      <c r="R60" s="26">
        <v>5.1209999999999997E-3</v>
      </c>
    </row>
    <row r="61" spans="1:18" x14ac:dyDescent="0.25">
      <c r="A61" s="26">
        <v>58</v>
      </c>
      <c r="B61" s="29">
        <v>1.6999969048359868E-2</v>
      </c>
      <c r="C61" s="29">
        <v>1.3590049086898103E-2</v>
      </c>
      <c r="D61" s="29">
        <v>8.4699206402505736E-3</v>
      </c>
      <c r="E61" s="29">
        <v>1.099E-2</v>
      </c>
      <c r="F61" s="29">
        <v>8.2699999999999996E-3</v>
      </c>
      <c r="G61" s="29">
        <v>6.7999999999999996E-3</v>
      </c>
      <c r="H61" s="29">
        <v>7.535E-3</v>
      </c>
      <c r="I61" s="29">
        <v>1.205E-2</v>
      </c>
      <c r="J61" s="29">
        <v>5.875E-3</v>
      </c>
      <c r="K61" s="29">
        <v>8.9630000000000005E-3</v>
      </c>
      <c r="L61" s="29">
        <v>1.0148000000000001E-2</v>
      </c>
      <c r="M61" s="29">
        <v>3.823E-3</v>
      </c>
      <c r="N61" s="29">
        <v>6.986E-3</v>
      </c>
      <c r="O61" s="26">
        <v>7.6160000000000004E-3</v>
      </c>
      <c r="P61" s="26">
        <v>2.6180000000000001E-3</v>
      </c>
      <c r="Q61" s="26">
        <v>5.117E-3</v>
      </c>
      <c r="R61" s="26">
        <v>5.581E-3</v>
      </c>
    </row>
    <row r="62" spans="1:18" x14ac:dyDescent="0.25">
      <c r="A62" s="26">
        <v>59</v>
      </c>
      <c r="B62" s="29">
        <v>1.8590028616125787E-2</v>
      </c>
      <c r="C62" s="29">
        <v>1.47700361612701E-2</v>
      </c>
      <c r="D62" s="29">
        <v>8.9400193263469898E-3</v>
      </c>
      <c r="E62" s="29">
        <v>1.1809999999999999E-2</v>
      </c>
      <c r="F62" s="29">
        <v>8.9899999999999997E-3</v>
      </c>
      <c r="G62" s="29">
        <v>7.3899999999999999E-3</v>
      </c>
      <c r="H62" s="29">
        <v>8.1899999999999994E-3</v>
      </c>
      <c r="I62" s="29">
        <v>1.3469999999999999E-2</v>
      </c>
      <c r="J62" s="29">
        <v>6.6880000000000004E-3</v>
      </c>
      <c r="K62" s="29">
        <v>1.0078999999999999E-2</v>
      </c>
      <c r="L62" s="29">
        <v>1.1124999999999999E-2</v>
      </c>
      <c r="M62" s="29">
        <v>4.4149999999999997E-3</v>
      </c>
      <c r="N62" s="29">
        <v>7.77E-3</v>
      </c>
      <c r="O62" s="26">
        <v>8.3999999999999995E-3</v>
      </c>
      <c r="P62" s="26">
        <v>3.0430000000000001E-3</v>
      </c>
      <c r="Q62" s="26">
        <v>5.7215E-3</v>
      </c>
      <c r="R62" s="26">
        <v>6.1029999999999999E-3</v>
      </c>
    </row>
    <row r="63" spans="1:18" x14ac:dyDescent="0.25">
      <c r="A63" s="26">
        <v>60</v>
      </c>
      <c r="B63" s="29">
        <v>2.0340062696315664E-2</v>
      </c>
      <c r="C63" s="29">
        <v>1.6079994369311561E-2</v>
      </c>
      <c r="D63" s="29">
        <v>9.4700005265114795E-3</v>
      </c>
      <c r="E63" s="29">
        <v>1.2710000000000001E-2</v>
      </c>
      <c r="F63" s="29">
        <v>9.8600000000000007E-3</v>
      </c>
      <c r="G63" s="29">
        <v>8.0099999999999998E-3</v>
      </c>
      <c r="H63" s="29">
        <v>8.9350000000000002E-3</v>
      </c>
      <c r="I63" s="29">
        <v>1.4781000000000001E-2</v>
      </c>
      <c r="J63" s="29">
        <v>7.2509999999999996E-3</v>
      </c>
      <c r="K63" s="29">
        <v>1.1016E-2</v>
      </c>
      <c r="L63" s="29">
        <v>1.2182999999999999E-2</v>
      </c>
      <c r="M63" s="29">
        <v>5.1130000000000004E-3</v>
      </c>
      <c r="N63" s="29">
        <v>8.6479999999999994E-3</v>
      </c>
      <c r="O63" s="26">
        <v>9.2619999999999994E-3</v>
      </c>
      <c r="P63" s="26">
        <v>3.5479999999999999E-3</v>
      </c>
      <c r="Q63" s="26">
        <v>6.4049999999999992E-3</v>
      </c>
      <c r="R63" s="26">
        <v>6.7000000000000002E-3</v>
      </c>
    </row>
    <row r="64" spans="1:18" x14ac:dyDescent="0.25">
      <c r="A64" s="26">
        <v>61</v>
      </c>
      <c r="B64" s="29">
        <v>2.2239942000284802E-2</v>
      </c>
      <c r="C64" s="29">
        <v>1.7540004279460324E-2</v>
      </c>
      <c r="D64" s="29">
        <v>1.0129984512438687E-2</v>
      </c>
      <c r="E64" s="29">
        <v>1.375E-2</v>
      </c>
      <c r="F64" s="29">
        <v>1.094E-2</v>
      </c>
      <c r="G64" s="29">
        <v>8.6800000000000002E-3</v>
      </c>
      <c r="H64" s="29">
        <v>9.8099999999999993E-3</v>
      </c>
      <c r="I64" s="29">
        <v>1.6036000000000002E-2</v>
      </c>
      <c r="J64" s="29">
        <v>7.724E-3</v>
      </c>
      <c r="K64" s="29">
        <v>1.188E-2</v>
      </c>
      <c r="L64" s="29">
        <v>1.3346999999999999E-2</v>
      </c>
      <c r="M64" s="29">
        <v>5.6480000000000002E-3</v>
      </c>
      <c r="N64" s="29">
        <v>9.4979999999999995E-3</v>
      </c>
      <c r="O64" s="26">
        <v>1.0224E-2</v>
      </c>
      <c r="P64" s="26">
        <v>3.9490000000000003E-3</v>
      </c>
      <c r="Q64" s="26">
        <v>7.0865000000000008E-3</v>
      </c>
      <c r="R64" s="26">
        <v>7.3829999999999998E-3</v>
      </c>
    </row>
    <row r="65" spans="1:18" x14ac:dyDescent="0.25">
      <c r="A65" s="26">
        <v>62</v>
      </c>
      <c r="B65" s="29">
        <v>2.4310008854993716E-2</v>
      </c>
      <c r="C65" s="29">
        <v>1.9189978548274571E-2</v>
      </c>
      <c r="D65" s="29">
        <v>1.0960062551031343E-2</v>
      </c>
      <c r="E65" s="29">
        <v>1.4959999999999999E-2</v>
      </c>
      <c r="F65" s="29">
        <v>1.225E-2</v>
      </c>
      <c r="G65" s="29">
        <v>9.3900000000000008E-3</v>
      </c>
      <c r="H65" s="29">
        <v>1.082E-2</v>
      </c>
      <c r="I65" s="29">
        <v>1.7600000000000001E-2</v>
      </c>
      <c r="J65" s="29">
        <v>8.6090000000000003E-3</v>
      </c>
      <c r="K65" s="29">
        <v>1.3105E-2</v>
      </c>
      <c r="L65" s="29">
        <v>1.4670000000000001E-2</v>
      </c>
      <c r="M65" s="29">
        <v>6.2849999999999998E-3</v>
      </c>
      <c r="N65" s="29">
        <v>1.0477999999999999E-2</v>
      </c>
      <c r="O65" s="26">
        <v>1.1328E-2</v>
      </c>
      <c r="P65" s="26">
        <v>4.4299999999999999E-3</v>
      </c>
      <c r="Q65" s="26">
        <v>7.8790000000000006E-3</v>
      </c>
      <c r="R65" s="26">
        <v>8.1720000000000004E-3</v>
      </c>
    </row>
    <row r="66" spans="1:18" x14ac:dyDescent="0.25">
      <c r="A66" s="26">
        <v>63</v>
      </c>
      <c r="B66" s="29">
        <v>2.6570030516605819E-2</v>
      </c>
      <c r="C66" s="29">
        <v>2.1059934967567934E-2</v>
      </c>
      <c r="D66" s="29">
        <v>1.2019968039917861E-2</v>
      </c>
      <c r="E66" s="29">
        <v>1.6389999999999998E-2</v>
      </c>
      <c r="F66" s="29">
        <v>1.371E-2</v>
      </c>
      <c r="G66" s="29">
        <v>1.014E-2</v>
      </c>
      <c r="H66" s="29">
        <v>1.1925E-2</v>
      </c>
      <c r="I66" s="29">
        <v>1.9498000000000001E-2</v>
      </c>
      <c r="J66" s="29">
        <v>9.9229999999999995E-3</v>
      </c>
      <c r="K66" s="29">
        <v>1.4711E-2</v>
      </c>
      <c r="L66" s="29">
        <v>1.6128E-2</v>
      </c>
      <c r="M66" s="29">
        <v>7.0020000000000004E-3</v>
      </c>
      <c r="N66" s="29">
        <v>1.1565000000000001E-2</v>
      </c>
      <c r="O66" s="26">
        <v>1.2558E-2</v>
      </c>
      <c r="P66" s="26">
        <v>4.9760000000000004E-3</v>
      </c>
      <c r="Q66" s="26">
        <v>8.7670000000000005E-3</v>
      </c>
      <c r="R66" s="26">
        <v>9.0799999999999995E-3</v>
      </c>
    </row>
    <row r="67" spans="1:18" x14ac:dyDescent="0.25">
      <c r="A67" s="26">
        <v>64</v>
      </c>
      <c r="B67" s="29">
        <v>2.9040002569987542E-2</v>
      </c>
      <c r="C67" s="29">
        <v>2.3139999341629251E-2</v>
      </c>
      <c r="D67" s="29">
        <v>1.3250002062294892E-2</v>
      </c>
      <c r="E67" s="29">
        <v>1.8020000000000001E-2</v>
      </c>
      <c r="F67" s="29">
        <v>1.524E-2</v>
      </c>
      <c r="G67" s="29">
        <v>1.0959999999999999E-2</v>
      </c>
      <c r="H67" s="29">
        <v>1.3100000000000001E-2</v>
      </c>
      <c r="I67" s="29">
        <v>2.1763000000000001E-2</v>
      </c>
      <c r="J67" s="29">
        <v>1.1684999999999999E-2</v>
      </c>
      <c r="K67" s="29">
        <v>1.6723999999999999E-2</v>
      </c>
      <c r="L67" s="29">
        <v>1.7672E-2</v>
      </c>
      <c r="M67" s="29">
        <v>7.7999999999999996E-3</v>
      </c>
      <c r="N67" s="29">
        <v>1.2736000000000001E-2</v>
      </c>
      <c r="O67" s="26">
        <v>1.3878E-2</v>
      </c>
      <c r="P67" s="26">
        <v>5.5909999999999996E-3</v>
      </c>
      <c r="Q67" s="26">
        <v>9.7345000000000001E-3</v>
      </c>
      <c r="R67" s="26">
        <v>1.0127000000000001E-2</v>
      </c>
    </row>
    <row r="68" spans="1:18" x14ac:dyDescent="0.25">
      <c r="A68" s="26">
        <v>65</v>
      </c>
      <c r="B68" s="29">
        <v>3.1750020696913225E-2</v>
      </c>
      <c r="C68" s="29">
        <v>2.5419990850975266E-2</v>
      </c>
      <c r="D68" s="29">
        <v>1.4589954955857626E-2</v>
      </c>
      <c r="E68" s="29">
        <v>1.9779999999999999E-2</v>
      </c>
      <c r="F68" s="29">
        <v>1.685E-2</v>
      </c>
      <c r="G68" s="29">
        <v>1.1849999999999999E-2</v>
      </c>
      <c r="H68" s="29">
        <v>1.435E-2</v>
      </c>
      <c r="I68" s="29">
        <v>2.4067999999999999E-2</v>
      </c>
      <c r="J68" s="29">
        <v>1.3220000000000001E-2</v>
      </c>
      <c r="K68" s="29">
        <v>1.8644000000000001E-2</v>
      </c>
      <c r="L68" s="29">
        <v>1.9293000000000001E-2</v>
      </c>
      <c r="M68" s="29">
        <v>8.6750000000000004E-3</v>
      </c>
      <c r="N68" s="29">
        <v>1.3984E-2</v>
      </c>
      <c r="O68" s="26">
        <v>1.5283E-2</v>
      </c>
      <c r="P68" s="26">
        <v>6.2729999999999999E-3</v>
      </c>
      <c r="Q68" s="26">
        <v>1.0777999999999999E-2</v>
      </c>
      <c r="R68" s="26">
        <v>1.1328E-2</v>
      </c>
    </row>
    <row r="69" spans="1:18" x14ac:dyDescent="0.25">
      <c r="A69" s="26">
        <v>66</v>
      </c>
      <c r="B69" s="29">
        <v>3.4739925529423593E-2</v>
      </c>
      <c r="C69" s="29">
        <v>2.7850101512986565E-2</v>
      </c>
      <c r="D69" s="29">
        <v>1.6000057888954512E-2</v>
      </c>
      <c r="E69" s="29">
        <v>2.164E-2</v>
      </c>
      <c r="F69" s="29">
        <v>1.847E-2</v>
      </c>
      <c r="G69" s="29">
        <v>1.282E-2</v>
      </c>
      <c r="H69" s="29">
        <v>1.5644999999999999E-2</v>
      </c>
      <c r="I69" s="29">
        <v>2.6343999999999999E-2</v>
      </c>
      <c r="J69" s="29">
        <v>1.4533000000000001E-2</v>
      </c>
      <c r="K69" s="29">
        <v>2.0438999999999999E-2</v>
      </c>
      <c r="L69" s="29">
        <v>2.1007999999999999E-2</v>
      </c>
      <c r="M69" s="29">
        <v>9.6570000000000007E-3</v>
      </c>
      <c r="N69" s="29">
        <v>1.5332999999999999E-2</v>
      </c>
      <c r="O69" s="26">
        <v>1.6785000000000001E-2</v>
      </c>
      <c r="P69" s="26">
        <v>7.0429999999999998E-3</v>
      </c>
      <c r="Q69" s="26">
        <v>1.1914000000000001E-2</v>
      </c>
      <c r="R69" s="26">
        <v>1.2697999999999999E-2</v>
      </c>
    </row>
    <row r="70" spans="1:18" x14ac:dyDescent="0.25">
      <c r="A70" s="26">
        <v>67</v>
      </c>
      <c r="B70" s="29">
        <v>3.8039983542759323E-2</v>
      </c>
      <c r="C70" s="29">
        <v>3.0440021680541482E-2</v>
      </c>
      <c r="D70" s="29">
        <v>1.7429980601234928E-2</v>
      </c>
      <c r="E70" s="29">
        <v>2.359E-2</v>
      </c>
      <c r="F70" s="29">
        <v>2.009E-2</v>
      </c>
      <c r="G70" s="29">
        <v>1.389E-2</v>
      </c>
      <c r="H70" s="29">
        <v>1.6990000000000002E-2</v>
      </c>
      <c r="I70" s="29">
        <v>2.8938999999999999E-2</v>
      </c>
      <c r="J70" s="29">
        <v>1.6337000000000001E-2</v>
      </c>
      <c r="K70" s="29">
        <v>2.2637999999999998E-2</v>
      </c>
      <c r="L70" s="29">
        <v>2.2925999999999998E-2</v>
      </c>
      <c r="M70" s="29">
        <v>1.0802000000000001E-2</v>
      </c>
      <c r="N70" s="29">
        <v>1.6864000000000001E-2</v>
      </c>
      <c r="O70" s="26">
        <v>1.8471999999999999E-2</v>
      </c>
      <c r="P70" s="26">
        <v>7.9439999999999997E-3</v>
      </c>
      <c r="Q70" s="26">
        <v>1.3207999999999999E-2</v>
      </c>
      <c r="R70" s="26">
        <v>1.4241999999999999E-2</v>
      </c>
    </row>
    <row r="71" spans="1:18" x14ac:dyDescent="0.25">
      <c r="A71" s="26">
        <v>68</v>
      </c>
      <c r="B71" s="29">
        <v>4.167996927751122E-2</v>
      </c>
      <c r="C71" s="29">
        <v>3.3189981532985025E-2</v>
      </c>
      <c r="D71" s="29">
        <v>1.8840001094246071E-2</v>
      </c>
      <c r="E71" s="29">
        <v>2.5579999999999999E-2</v>
      </c>
      <c r="F71" s="29">
        <v>2.1850000000000001E-2</v>
      </c>
      <c r="G71" s="29">
        <v>1.507E-2</v>
      </c>
      <c r="H71" s="29">
        <v>1.8460000000000001E-2</v>
      </c>
      <c r="I71" s="29">
        <v>3.1898999999999997E-2</v>
      </c>
      <c r="J71" s="29">
        <v>1.8672000000000001E-2</v>
      </c>
      <c r="K71" s="29">
        <v>2.5285999999999999E-2</v>
      </c>
      <c r="L71" s="29">
        <v>2.5041999999999998E-2</v>
      </c>
      <c r="M71" s="29">
        <v>1.2123999999999999E-2</v>
      </c>
      <c r="N71" s="29">
        <v>1.8582999999999999E-2</v>
      </c>
      <c r="O71" s="26">
        <v>2.0338999999999999E-2</v>
      </c>
      <c r="P71" s="26">
        <v>8.9879999999999995E-3</v>
      </c>
      <c r="Q71" s="26">
        <v>1.4663499999999999E-2</v>
      </c>
      <c r="R71" s="26">
        <v>1.5966000000000001E-2</v>
      </c>
    </row>
    <row r="72" spans="1:18" x14ac:dyDescent="0.25">
      <c r="A72" s="26">
        <v>69</v>
      </c>
      <c r="B72" s="29">
        <v>4.5610080329352563E-2</v>
      </c>
      <c r="C72" s="29">
        <v>3.6169881014468601E-2</v>
      </c>
      <c r="D72" s="29">
        <v>2.036002564566243E-2</v>
      </c>
      <c r="E72" s="29">
        <v>2.7730000000000001E-2</v>
      </c>
      <c r="F72" s="29">
        <v>2.3640000000000001E-2</v>
      </c>
      <c r="G72" s="29">
        <v>1.636E-2</v>
      </c>
      <c r="H72" s="29">
        <v>0.02</v>
      </c>
      <c r="I72" s="29">
        <v>3.5279999999999999E-2</v>
      </c>
      <c r="J72" s="29">
        <v>2.1583000000000001E-2</v>
      </c>
      <c r="K72" s="29">
        <v>2.8431999999999999E-2</v>
      </c>
      <c r="L72" s="29">
        <v>2.7358E-2</v>
      </c>
      <c r="M72" s="29">
        <v>1.3623E-2</v>
      </c>
      <c r="N72" s="29">
        <v>2.0490999999999999E-2</v>
      </c>
      <c r="O72" s="26">
        <v>2.239E-2</v>
      </c>
      <c r="P72" s="26">
        <v>1.0175999999999999E-2</v>
      </c>
      <c r="Q72" s="26">
        <v>1.6282999999999999E-2</v>
      </c>
      <c r="R72" s="26">
        <v>1.7868999999999999E-2</v>
      </c>
    </row>
    <row r="73" spans="1:18" x14ac:dyDescent="0.25">
      <c r="A73" s="26">
        <v>70</v>
      </c>
      <c r="B73" s="29">
        <v>4.9789950379219503E-2</v>
      </c>
      <c r="C73" s="29">
        <v>3.951013067400385E-2</v>
      </c>
      <c r="D73" s="29">
        <v>2.2109959772124828E-2</v>
      </c>
      <c r="E73" s="29">
        <v>3.0159999999999999E-2</v>
      </c>
      <c r="F73" s="29">
        <v>2.5770000000000001E-2</v>
      </c>
      <c r="G73" s="29">
        <v>1.7809999999999999E-2</v>
      </c>
      <c r="H73" s="29">
        <v>2.179E-2</v>
      </c>
      <c r="I73" s="29">
        <v>3.9232000000000003E-2</v>
      </c>
      <c r="J73" s="29">
        <v>2.4462999999999999E-2</v>
      </c>
      <c r="K73" s="29">
        <v>3.1848000000000001E-2</v>
      </c>
      <c r="L73" s="29">
        <v>2.9878999999999999E-2</v>
      </c>
      <c r="M73" s="29">
        <v>1.5329000000000001E-2</v>
      </c>
      <c r="N73" s="29">
        <v>2.2603999999999999E-2</v>
      </c>
      <c r="O73" s="26">
        <v>2.4625999999999999E-2</v>
      </c>
      <c r="P73" s="26">
        <v>1.1532000000000001E-2</v>
      </c>
      <c r="Q73" s="26">
        <v>1.8078999999999998E-2</v>
      </c>
      <c r="R73" s="26">
        <v>1.9958E-2</v>
      </c>
    </row>
    <row r="74" spans="1:18" x14ac:dyDescent="0.25">
      <c r="A74" s="26">
        <v>71</v>
      </c>
      <c r="B74" s="29">
        <v>5.4150059865409161E-2</v>
      </c>
      <c r="C74" s="29">
        <v>4.3299918523398387E-2</v>
      </c>
      <c r="D74" s="29">
        <v>2.4229962101129005E-2</v>
      </c>
      <c r="E74" s="29">
        <v>3.2960000000000003E-2</v>
      </c>
      <c r="F74" s="29">
        <v>2.8150000000000001E-2</v>
      </c>
      <c r="G74" s="29">
        <v>1.9470000000000001E-2</v>
      </c>
      <c r="H74" s="29">
        <v>2.3810000000000001E-2</v>
      </c>
      <c r="I74" s="29">
        <v>4.3485999999999997E-2</v>
      </c>
      <c r="J74" s="29">
        <v>2.7224000000000002E-2</v>
      </c>
      <c r="K74" s="29">
        <v>3.5354999999999998E-2</v>
      </c>
      <c r="L74" s="29">
        <v>3.2650999999999999E-2</v>
      </c>
      <c r="M74" s="29">
        <v>1.7274999999999999E-2</v>
      </c>
      <c r="N74" s="29">
        <v>2.4962999999999999E-2</v>
      </c>
      <c r="O74" s="26">
        <v>2.7085000000000001E-2</v>
      </c>
      <c r="P74" s="26">
        <v>1.308E-2</v>
      </c>
      <c r="Q74" s="26">
        <v>2.00825E-2</v>
      </c>
      <c r="R74" s="26">
        <v>2.2241E-2</v>
      </c>
    </row>
    <row r="75" spans="1:18" x14ac:dyDescent="0.25">
      <c r="A75" s="26">
        <v>72</v>
      </c>
      <c r="B75" s="29">
        <v>5.8649921257179126E-2</v>
      </c>
      <c r="C75" s="29">
        <v>4.7649979628236562E-2</v>
      </c>
      <c r="D75" s="29">
        <v>2.687000501433108E-2</v>
      </c>
      <c r="E75" s="29">
        <v>3.6290000000000003E-2</v>
      </c>
      <c r="F75" s="29">
        <v>3.1320000000000001E-2</v>
      </c>
      <c r="G75" s="29">
        <v>2.1299999999999999E-2</v>
      </c>
      <c r="H75" s="29">
        <v>2.631E-2</v>
      </c>
      <c r="I75" s="29">
        <v>4.7834000000000002E-2</v>
      </c>
      <c r="J75" s="29">
        <v>3.0523000000000002E-2</v>
      </c>
      <c r="K75" s="29">
        <v>3.9178999999999999E-2</v>
      </c>
      <c r="L75" s="29">
        <v>3.5798000000000003E-2</v>
      </c>
      <c r="M75" s="29">
        <v>1.9567999999999999E-2</v>
      </c>
      <c r="N75" s="29">
        <v>2.7682999999999999E-2</v>
      </c>
      <c r="O75" s="26">
        <v>2.9869E-2</v>
      </c>
      <c r="P75" s="26">
        <v>1.4903E-2</v>
      </c>
      <c r="Q75" s="26">
        <v>2.2386E-2</v>
      </c>
      <c r="R75" s="26">
        <v>2.4764999999999999E-2</v>
      </c>
    </row>
    <row r="76" spans="1:18" x14ac:dyDescent="0.25">
      <c r="A76" s="26">
        <v>73</v>
      </c>
      <c r="B76" s="29">
        <v>6.3260065494434789E-2</v>
      </c>
      <c r="C76" s="29">
        <v>5.2640004808204542E-2</v>
      </c>
      <c r="D76" s="29">
        <v>3.0110114063955275E-2</v>
      </c>
      <c r="E76" s="29">
        <v>4.02E-2</v>
      </c>
      <c r="F76" s="29">
        <v>3.4619999999999998E-2</v>
      </c>
      <c r="G76" s="29">
        <v>2.3300000000000001E-2</v>
      </c>
      <c r="H76" s="29">
        <v>2.896E-2</v>
      </c>
      <c r="I76" s="29">
        <v>5.2305999999999998E-2</v>
      </c>
      <c r="J76" s="29">
        <v>3.4439999999999998E-2</v>
      </c>
      <c r="K76" s="29">
        <v>4.3373000000000002E-2</v>
      </c>
      <c r="L76" s="29">
        <v>3.9240999999999998E-2</v>
      </c>
      <c r="M76" s="29">
        <v>2.2158000000000001E-2</v>
      </c>
      <c r="N76" s="29">
        <v>3.0700000000000002E-2</v>
      </c>
      <c r="O76" s="26">
        <v>3.2912999999999998E-2</v>
      </c>
      <c r="P76" s="26">
        <v>1.6962999999999999E-2</v>
      </c>
      <c r="Q76" s="26">
        <v>2.4937999999999998E-2</v>
      </c>
      <c r="R76" s="26">
        <v>2.7581000000000001E-2</v>
      </c>
    </row>
    <row r="77" spans="1:18" x14ac:dyDescent="0.25">
      <c r="A77" s="26">
        <v>74</v>
      </c>
      <c r="B77" s="29">
        <v>6.8119951261338504E-2</v>
      </c>
      <c r="C77" s="29">
        <v>5.8190103062737177E-2</v>
      </c>
      <c r="D77" s="29">
        <v>3.3929925011757671E-2</v>
      </c>
      <c r="E77" s="29">
        <v>4.4659999999999998E-2</v>
      </c>
      <c r="F77" s="29">
        <v>3.8080000000000003E-2</v>
      </c>
      <c r="G77" s="29">
        <v>2.5499999999999998E-2</v>
      </c>
      <c r="H77" s="29">
        <v>3.1789999999999999E-2</v>
      </c>
      <c r="I77" s="29">
        <v>5.6931000000000002E-2</v>
      </c>
      <c r="J77" s="29">
        <v>3.9081999999999999E-2</v>
      </c>
      <c r="K77" s="29">
        <v>4.8007000000000001E-2</v>
      </c>
      <c r="L77" s="29">
        <v>4.3027999999999997E-2</v>
      </c>
      <c r="M77" s="29">
        <v>2.5090000000000001E-2</v>
      </c>
      <c r="N77" s="29">
        <v>3.4058999999999999E-2</v>
      </c>
      <c r="O77" s="26">
        <v>3.6254000000000002E-2</v>
      </c>
      <c r="P77" s="26">
        <v>1.9295E-2</v>
      </c>
      <c r="Q77" s="26">
        <v>2.7774500000000001E-2</v>
      </c>
      <c r="R77" s="26">
        <v>3.074E-2</v>
      </c>
    </row>
    <row r="78" spans="1:18" x14ac:dyDescent="0.25">
      <c r="A78" s="26">
        <v>75</v>
      </c>
      <c r="B78" s="29">
        <v>7.3369950793068892E-2</v>
      </c>
      <c r="C78" s="29">
        <v>6.4190019490057787E-2</v>
      </c>
      <c r="D78" s="29">
        <v>3.8240054808302101E-2</v>
      </c>
      <c r="E78" s="29">
        <v>4.9549999999999997E-2</v>
      </c>
      <c r="F78" s="29">
        <v>4.1910000000000003E-2</v>
      </c>
      <c r="G78" s="29">
        <v>2.7900000000000001E-2</v>
      </c>
      <c r="H78" s="29">
        <v>3.4904999999999999E-2</v>
      </c>
      <c r="I78" s="29">
        <v>6.3283000000000006E-2</v>
      </c>
      <c r="J78" s="29">
        <v>4.4929999999999998E-2</v>
      </c>
      <c r="K78" s="29">
        <v>5.4107000000000002E-2</v>
      </c>
      <c r="L78" s="29">
        <v>4.7072999999999997E-2</v>
      </c>
      <c r="M78" s="29">
        <v>2.8299999999999999E-2</v>
      </c>
      <c r="N78" s="29">
        <v>3.7686999999999998E-2</v>
      </c>
      <c r="O78" s="26">
        <v>3.9816999999999998E-2</v>
      </c>
      <c r="P78" s="26">
        <v>2.1850000000000001E-2</v>
      </c>
      <c r="Q78" s="26">
        <v>3.08335E-2</v>
      </c>
      <c r="R78" s="26">
        <v>3.4294999999999999E-2</v>
      </c>
    </row>
    <row r="79" spans="1:18" x14ac:dyDescent="0.25">
      <c r="A79" s="26">
        <v>76</v>
      </c>
      <c r="B79" s="29">
        <v>7.9180118607905359E-2</v>
      </c>
      <c r="C79" s="29">
        <v>7.0529989767577198E-2</v>
      </c>
      <c r="D79" s="29">
        <v>4.2970056690697575E-2</v>
      </c>
      <c r="E79" s="29">
        <v>5.4800000000000001E-2</v>
      </c>
      <c r="F79" s="29">
        <v>4.6080000000000003E-2</v>
      </c>
      <c r="G79" s="29">
        <v>3.0530000000000002E-2</v>
      </c>
      <c r="H79" s="29">
        <v>3.8304999999999999E-2</v>
      </c>
      <c r="I79" s="29">
        <v>7.1007000000000001E-2</v>
      </c>
      <c r="J79" s="29">
        <v>5.1247000000000001E-2</v>
      </c>
      <c r="K79" s="29">
        <v>6.1127000000000001E-2</v>
      </c>
      <c r="L79" s="29">
        <v>5.1534999999999997E-2</v>
      </c>
      <c r="M79" s="29">
        <v>3.1918000000000002E-2</v>
      </c>
      <c r="N79" s="29">
        <v>4.1727E-2</v>
      </c>
      <c r="O79" s="26">
        <v>4.3735999999999997E-2</v>
      </c>
      <c r="P79" s="26">
        <v>2.4725E-2</v>
      </c>
      <c r="Q79" s="26">
        <v>3.4230499999999997E-2</v>
      </c>
      <c r="R79" s="26">
        <v>3.8286000000000001E-2</v>
      </c>
    </row>
    <row r="80" spans="1:18" x14ac:dyDescent="0.25">
      <c r="A80" s="26">
        <v>77</v>
      </c>
      <c r="B80" s="29">
        <v>8.5700113028788424E-2</v>
      </c>
      <c r="C80" s="29">
        <v>7.7119883898687333E-2</v>
      </c>
      <c r="D80" s="29">
        <v>4.8039979111886358E-2</v>
      </c>
      <c r="E80" s="29">
        <v>6.0310000000000002E-2</v>
      </c>
      <c r="F80" s="29">
        <v>5.092E-2</v>
      </c>
      <c r="G80" s="29">
        <v>3.3410000000000002E-2</v>
      </c>
      <c r="H80" s="29">
        <v>4.2165000000000001E-2</v>
      </c>
      <c r="I80" s="29">
        <v>7.8297000000000005E-2</v>
      </c>
      <c r="J80" s="29">
        <v>5.7276000000000001E-2</v>
      </c>
      <c r="K80" s="29">
        <v>6.7787E-2</v>
      </c>
      <c r="L80" s="29">
        <v>5.6416000000000001E-2</v>
      </c>
      <c r="M80" s="29">
        <v>3.5968E-2</v>
      </c>
      <c r="N80" s="29">
        <v>4.6191999999999997E-2</v>
      </c>
      <c r="O80" s="26">
        <v>4.8010999999999998E-2</v>
      </c>
      <c r="P80" s="26">
        <v>2.794E-2</v>
      </c>
      <c r="Q80" s="26">
        <v>3.7975499999999995E-2</v>
      </c>
      <c r="R80" s="26">
        <v>4.2715000000000003E-2</v>
      </c>
    </row>
    <row r="81" spans="1:18" x14ac:dyDescent="0.25">
      <c r="A81" s="26">
        <v>78</v>
      </c>
      <c r="B81" s="29">
        <v>9.3060147416852992E-2</v>
      </c>
      <c r="C81" s="29">
        <v>8.3900022631971091E-2</v>
      </c>
      <c r="D81" s="29">
        <v>5.3449902977009453E-2</v>
      </c>
      <c r="E81" s="29">
        <v>6.6059999999999994E-2</v>
      </c>
      <c r="F81" s="29">
        <v>5.6559999999999999E-2</v>
      </c>
      <c r="G81" s="29">
        <v>3.6580000000000001E-2</v>
      </c>
      <c r="H81" s="29">
        <v>4.657E-2</v>
      </c>
      <c r="I81" s="29">
        <v>8.4962999999999997E-2</v>
      </c>
      <c r="J81" s="29">
        <v>6.2975000000000003E-2</v>
      </c>
      <c r="K81" s="29">
        <v>7.3968999999999993E-2</v>
      </c>
      <c r="L81" s="29">
        <v>6.1869E-2</v>
      </c>
      <c r="M81" s="29">
        <v>4.0627000000000003E-2</v>
      </c>
      <c r="N81" s="29">
        <v>5.1248000000000002E-2</v>
      </c>
      <c r="O81" s="26">
        <v>5.2770999999999998E-2</v>
      </c>
      <c r="P81" s="26">
        <v>3.1629999999999998E-2</v>
      </c>
      <c r="Q81" s="26">
        <v>4.2200500000000002E-2</v>
      </c>
      <c r="R81" s="26">
        <v>4.7569E-2</v>
      </c>
    </row>
    <row r="82" spans="1:18" x14ac:dyDescent="0.25">
      <c r="A82" s="26">
        <v>79</v>
      </c>
      <c r="B82" s="29">
        <v>0.10119008711335002</v>
      </c>
      <c r="C82" s="29">
        <v>9.1050127215303367E-2</v>
      </c>
      <c r="D82" s="29">
        <v>5.935014724560761E-2</v>
      </c>
      <c r="E82" s="29">
        <v>7.2230000000000003E-2</v>
      </c>
      <c r="F82" s="29">
        <v>6.3060000000000005E-2</v>
      </c>
      <c r="G82" s="29">
        <v>4.0050000000000002E-2</v>
      </c>
      <c r="H82" s="29">
        <v>5.1554999999999997E-2</v>
      </c>
      <c r="I82" s="29">
        <v>9.0676999999999994E-2</v>
      </c>
      <c r="J82" s="29">
        <v>6.8250000000000005E-2</v>
      </c>
      <c r="K82" s="29">
        <v>7.9464000000000007E-2</v>
      </c>
      <c r="L82" s="29">
        <v>6.7724000000000006E-2</v>
      </c>
      <c r="M82" s="29">
        <v>4.5813E-2</v>
      </c>
      <c r="N82" s="29">
        <v>5.6769E-2</v>
      </c>
      <c r="O82" s="26">
        <v>5.7872E-2</v>
      </c>
      <c r="P82" s="26">
        <v>3.5734000000000002E-2</v>
      </c>
      <c r="Q82" s="26">
        <v>4.6802999999999997E-2</v>
      </c>
      <c r="R82" s="26">
        <v>5.2837000000000002E-2</v>
      </c>
    </row>
    <row r="83" spans="1:18" x14ac:dyDescent="0.25">
      <c r="A83" s="26">
        <v>80</v>
      </c>
      <c r="B83" s="29">
        <v>0.10997985053145556</v>
      </c>
      <c r="C83" s="29">
        <v>9.8839806861480736E-2</v>
      </c>
      <c r="D83" s="29">
        <v>6.5989995300655219E-2</v>
      </c>
      <c r="E83" s="29">
        <v>7.9070000000000001E-2</v>
      </c>
      <c r="F83" s="29">
        <v>7.0139999999999994E-2</v>
      </c>
      <c r="G83" s="29">
        <v>4.3860000000000003E-2</v>
      </c>
      <c r="H83" s="29">
        <v>5.7000000000000002E-2</v>
      </c>
      <c r="I83" s="29">
        <v>9.9237000000000006E-2</v>
      </c>
      <c r="J83" s="29">
        <v>7.5939999999999994E-2</v>
      </c>
      <c r="K83" s="29">
        <v>8.7589E-2</v>
      </c>
      <c r="L83" s="29">
        <v>7.4198E-2</v>
      </c>
      <c r="M83" s="29">
        <v>5.1747000000000001E-2</v>
      </c>
      <c r="N83" s="29">
        <v>6.2973000000000001E-2</v>
      </c>
      <c r="O83" s="26">
        <v>6.3499E-2</v>
      </c>
      <c r="P83" s="26">
        <v>4.0423000000000001E-2</v>
      </c>
      <c r="Q83" s="26">
        <v>5.1961E-2</v>
      </c>
      <c r="R83" s="26">
        <v>5.8507999999999998E-2</v>
      </c>
    </row>
    <row r="84" spans="1:18" x14ac:dyDescent="0.25">
      <c r="A84" s="26">
        <v>81</v>
      </c>
      <c r="B84" s="29">
        <v>0.1193497906331657</v>
      </c>
      <c r="C84" s="29">
        <v>0.1074799229790646</v>
      </c>
      <c r="D84" s="29">
        <v>7.3600011180809999E-2</v>
      </c>
      <c r="E84" s="29">
        <v>8.6800000000000002E-2</v>
      </c>
      <c r="F84" s="29">
        <v>7.8189999999999996E-2</v>
      </c>
      <c r="G84" s="29">
        <v>4.9110000000000001E-2</v>
      </c>
      <c r="H84" s="29">
        <v>6.3649999999999998E-2</v>
      </c>
      <c r="I84" s="29">
        <v>0.111418</v>
      </c>
      <c r="J84" s="29">
        <v>8.6116999999999999E-2</v>
      </c>
      <c r="K84" s="29">
        <v>9.8767999999999995E-2</v>
      </c>
      <c r="L84" s="29">
        <v>8.1443000000000002E-2</v>
      </c>
      <c r="M84" s="29">
        <v>5.8458000000000003E-2</v>
      </c>
      <c r="N84" s="29">
        <v>6.9950999999999999E-2</v>
      </c>
      <c r="O84" s="26">
        <v>6.9783999999999999E-2</v>
      </c>
      <c r="P84" s="26">
        <v>4.5719999999999997E-2</v>
      </c>
      <c r="Q84" s="26">
        <v>5.7751999999999998E-2</v>
      </c>
      <c r="R84" s="26">
        <v>6.4570000000000002E-2</v>
      </c>
    </row>
    <row r="85" spans="1:18" x14ac:dyDescent="0.25">
      <c r="A85" s="26">
        <v>82</v>
      </c>
      <c r="B85" s="29">
        <v>0.12917012583183915</v>
      </c>
      <c r="C85" s="29">
        <v>0.11725028239470711</v>
      </c>
      <c r="D85" s="29">
        <v>8.239992136801369E-2</v>
      </c>
      <c r="E85" s="29">
        <v>9.5680000000000001E-2</v>
      </c>
      <c r="F85" s="29">
        <v>8.6540000000000006E-2</v>
      </c>
      <c r="G85" s="29">
        <v>5.4949999999999999E-2</v>
      </c>
      <c r="H85" s="29">
        <v>7.0745000000000002E-2</v>
      </c>
      <c r="I85" s="29">
        <v>0.12321500000000001</v>
      </c>
      <c r="J85" s="29">
        <v>9.5750000000000002E-2</v>
      </c>
      <c r="K85" s="29">
        <v>0.109483</v>
      </c>
      <c r="L85" s="29">
        <v>8.9971999999999996E-2</v>
      </c>
      <c r="M85" s="29">
        <v>6.6272999999999999E-2</v>
      </c>
      <c r="N85" s="29">
        <v>7.8122999999999998E-2</v>
      </c>
      <c r="O85" s="26">
        <v>7.7173000000000005E-2</v>
      </c>
      <c r="P85" s="26">
        <v>5.1887000000000003E-2</v>
      </c>
      <c r="Q85" s="26">
        <v>6.4530000000000004E-2</v>
      </c>
      <c r="R85" s="26">
        <v>7.1006E-2</v>
      </c>
    </row>
    <row r="86" spans="1:18" x14ac:dyDescent="0.25">
      <c r="A86" s="26">
        <v>83</v>
      </c>
      <c r="B86" s="29">
        <v>0.13937998671232746</v>
      </c>
      <c r="C86" s="29">
        <v>0.12825989711473942</v>
      </c>
      <c r="D86" s="29">
        <v>9.2530103434549163E-2</v>
      </c>
      <c r="E86" s="29">
        <v>0.10581</v>
      </c>
      <c r="F86" s="29">
        <v>9.5509999999999998E-2</v>
      </c>
      <c r="G86" s="29">
        <v>6.0810000000000003E-2</v>
      </c>
      <c r="H86" s="29">
        <v>7.8159999999999993E-2</v>
      </c>
      <c r="I86" s="29">
        <v>0.13397000000000001</v>
      </c>
      <c r="J86" s="29">
        <v>0.10448499999999999</v>
      </c>
      <c r="K86" s="29">
        <v>0.119228</v>
      </c>
      <c r="L86" s="29">
        <v>9.9500000000000005E-2</v>
      </c>
      <c r="M86" s="29">
        <v>7.4878E-2</v>
      </c>
      <c r="N86" s="29">
        <v>8.7189000000000003E-2</v>
      </c>
      <c r="O86" s="26">
        <v>8.5427000000000003E-2</v>
      </c>
      <c r="P86" s="26">
        <v>5.8680000000000003E-2</v>
      </c>
      <c r="Q86" s="26">
        <v>7.2053500000000006E-2</v>
      </c>
      <c r="R86" s="26">
        <v>7.7798000000000006E-2</v>
      </c>
    </row>
    <row r="87" spans="1:18" x14ac:dyDescent="0.25">
      <c r="A87" s="26">
        <v>84</v>
      </c>
      <c r="B87" s="29">
        <v>0.15001027365517206</v>
      </c>
      <c r="C87" s="29">
        <v>0.1402498413697757</v>
      </c>
      <c r="D87" s="29">
        <v>0.1038098976633872</v>
      </c>
      <c r="E87" s="29">
        <v>0.11702</v>
      </c>
      <c r="F87" s="29">
        <v>0.10543</v>
      </c>
      <c r="G87" s="29">
        <v>6.7269999999999996E-2</v>
      </c>
      <c r="H87" s="29">
        <v>8.6349999999999996E-2</v>
      </c>
      <c r="I87" s="29">
        <v>0.142406</v>
      </c>
      <c r="J87" s="29">
        <v>0.111664</v>
      </c>
      <c r="K87" s="29">
        <v>0.12703500000000001</v>
      </c>
      <c r="L87" s="29">
        <v>0.109766</v>
      </c>
      <c r="M87" s="29">
        <v>8.4245E-2</v>
      </c>
      <c r="N87" s="29">
        <v>9.7005999999999995E-2</v>
      </c>
      <c r="O87" s="26">
        <v>9.4329999999999997E-2</v>
      </c>
      <c r="P87" s="26">
        <v>6.6082000000000002E-2</v>
      </c>
      <c r="Q87" s="26">
        <v>8.0206E-2</v>
      </c>
      <c r="R87" s="26">
        <v>8.4927000000000002E-2</v>
      </c>
    </row>
    <row r="88" spans="1:18" x14ac:dyDescent="0.25">
      <c r="A88" s="26">
        <v>85</v>
      </c>
      <c r="B88" s="29">
        <v>0.16114029227939494</v>
      </c>
      <c r="C88" s="29">
        <v>0.1529499942036571</v>
      </c>
      <c r="D88" s="29">
        <v>0.11609994507939901</v>
      </c>
      <c r="E88" s="29">
        <v>0.12911</v>
      </c>
      <c r="F88" s="29">
        <v>0.11657000000000001</v>
      </c>
      <c r="G88" s="29">
        <v>7.4450000000000002E-2</v>
      </c>
      <c r="H88" s="29">
        <v>9.5509999999999998E-2</v>
      </c>
      <c r="I88" s="29">
        <v>0.153331</v>
      </c>
      <c r="J88" s="29">
        <v>0.12272</v>
      </c>
      <c r="K88" s="29">
        <v>0.13802600000000001</v>
      </c>
      <c r="L88" s="29">
        <v>0.120308</v>
      </c>
      <c r="M88" s="29">
        <v>9.4228999999999993E-2</v>
      </c>
      <c r="N88" s="29">
        <v>0.107269</v>
      </c>
      <c r="O88" s="26">
        <v>0.103493</v>
      </c>
      <c r="P88" s="26">
        <v>7.3987999999999998E-2</v>
      </c>
      <c r="Q88" s="26">
        <v>8.87405E-2</v>
      </c>
      <c r="R88" s="26">
        <v>9.2377000000000001E-2</v>
      </c>
    </row>
    <row r="89" spans="1:18" x14ac:dyDescent="0.25">
      <c r="A89" s="26">
        <v>86</v>
      </c>
      <c r="B89" s="29">
        <v>0.17281964152114884</v>
      </c>
      <c r="C89" s="29">
        <v>0.16608986927883163</v>
      </c>
      <c r="D89" s="29">
        <v>0.12929014998197999</v>
      </c>
      <c r="E89" s="29">
        <v>0.14191000000000001</v>
      </c>
      <c r="F89" s="29">
        <v>0.12891</v>
      </c>
      <c r="G89" s="29">
        <v>8.0990000000000006E-2</v>
      </c>
      <c r="H89" s="29">
        <v>0.10495</v>
      </c>
      <c r="I89" s="29">
        <v>0.1704</v>
      </c>
      <c r="J89" s="29">
        <v>0.139435</v>
      </c>
      <c r="K89" s="29">
        <v>0.154918</v>
      </c>
      <c r="L89" s="29">
        <v>0.131493</v>
      </c>
      <c r="M89" s="29">
        <v>0.105169</v>
      </c>
      <c r="N89" s="29">
        <v>0.11833100000000001</v>
      </c>
      <c r="O89" s="26">
        <v>0.11324099999999999</v>
      </c>
      <c r="P89" s="26">
        <v>8.2669999999999993E-2</v>
      </c>
      <c r="Q89" s="26">
        <v>9.7955500000000001E-2</v>
      </c>
      <c r="R89" s="26">
        <v>0.10037</v>
      </c>
    </row>
    <row r="90" spans="1:18" x14ac:dyDescent="0.25">
      <c r="A90" s="26">
        <v>87</v>
      </c>
      <c r="B90" s="29">
        <v>0.1851298288108193</v>
      </c>
      <c r="C90" s="29">
        <v>0.17955059338345156</v>
      </c>
      <c r="D90" s="29">
        <v>0.14331984127931735</v>
      </c>
      <c r="E90" s="29">
        <v>0.15540999999999999</v>
      </c>
      <c r="F90" s="29">
        <v>0.14235</v>
      </c>
      <c r="G90" s="29">
        <v>9.0789999999999996E-2</v>
      </c>
      <c r="H90" s="29">
        <v>0.11657000000000001</v>
      </c>
      <c r="I90" s="29">
        <v>0.18907099999999999</v>
      </c>
      <c r="J90" s="29">
        <v>0.15621499999999999</v>
      </c>
      <c r="K90" s="29">
        <v>0.17264299999999999</v>
      </c>
      <c r="L90" s="29">
        <v>0.14355399999999999</v>
      </c>
      <c r="M90" s="29">
        <v>0.117254</v>
      </c>
      <c r="N90" s="29">
        <v>0.13040399999999999</v>
      </c>
      <c r="O90" s="26">
        <v>0.12378599999999999</v>
      </c>
      <c r="P90" s="26">
        <v>9.2286999999999994E-2</v>
      </c>
      <c r="Q90" s="26">
        <v>0.10803649999999999</v>
      </c>
      <c r="R90" s="26">
        <v>0.10886999999999999</v>
      </c>
    </row>
    <row r="91" spans="1:18" x14ac:dyDescent="0.25">
      <c r="A91" s="26">
        <v>88</v>
      </c>
      <c r="B91" s="29">
        <v>0.19824970261937708</v>
      </c>
      <c r="C91" s="29">
        <v>0.19326954689313428</v>
      </c>
      <c r="D91" s="29">
        <v>0.15818035518001047</v>
      </c>
      <c r="E91" s="29">
        <v>0.16955000000000001</v>
      </c>
      <c r="F91" s="29">
        <v>0.15673000000000001</v>
      </c>
      <c r="G91" s="29">
        <v>0.10106999999999999</v>
      </c>
      <c r="H91" s="29">
        <v>0.12889999999999999</v>
      </c>
      <c r="I91" s="29">
        <v>0.208788</v>
      </c>
      <c r="J91" s="29">
        <v>0.17198099999999999</v>
      </c>
      <c r="K91" s="29">
        <v>0.190385</v>
      </c>
      <c r="L91" s="29">
        <v>0.157161</v>
      </c>
      <c r="M91" s="29">
        <v>0.13058</v>
      </c>
      <c r="N91" s="29">
        <v>0.143871</v>
      </c>
      <c r="O91" s="26">
        <v>0.135713</v>
      </c>
      <c r="P91" s="26">
        <v>0.102923</v>
      </c>
      <c r="Q91" s="26">
        <v>0.11931800000000001</v>
      </c>
      <c r="R91" s="26">
        <v>0.118004</v>
      </c>
    </row>
    <row r="92" spans="1:18" x14ac:dyDescent="0.25">
      <c r="A92" s="26">
        <v>89</v>
      </c>
      <c r="B92" s="29">
        <v>0.21246070075040749</v>
      </c>
      <c r="C92" s="29">
        <v>0.2072904123074808</v>
      </c>
      <c r="D92" s="29">
        <v>0.17393991738433393</v>
      </c>
      <c r="E92" s="29">
        <v>0.18445</v>
      </c>
      <c r="F92" s="29">
        <v>0.17188000000000001</v>
      </c>
      <c r="G92" s="29">
        <v>0.11201999999999999</v>
      </c>
      <c r="H92" s="29">
        <v>0.14194999999999999</v>
      </c>
      <c r="I92" s="29">
        <v>0.22774</v>
      </c>
      <c r="J92" s="29">
        <v>0.18424499999999999</v>
      </c>
      <c r="K92" s="29">
        <v>0.20599300000000001</v>
      </c>
      <c r="L92" s="29">
        <v>0.172675</v>
      </c>
      <c r="M92" s="29">
        <v>0.14547599999999999</v>
      </c>
      <c r="N92" s="29">
        <v>0.159076</v>
      </c>
      <c r="O92" s="26">
        <v>0.149343</v>
      </c>
      <c r="P92" s="26">
        <v>0.114844</v>
      </c>
      <c r="Q92" s="26">
        <v>0.1320935</v>
      </c>
      <c r="R92" s="26">
        <v>0.128107</v>
      </c>
    </row>
    <row r="93" spans="1:18" x14ac:dyDescent="0.25">
      <c r="A93" s="26">
        <v>90</v>
      </c>
      <c r="B93" s="29">
        <v>0.22813953786412744</v>
      </c>
      <c r="C93" s="29">
        <v>0.22176937323084356</v>
      </c>
      <c r="D93" s="29">
        <v>0.19074975364521571</v>
      </c>
      <c r="E93" s="29">
        <v>0.20022999999999999</v>
      </c>
      <c r="F93" s="29">
        <v>0.18765999999999999</v>
      </c>
      <c r="G93" s="29">
        <v>0.12192</v>
      </c>
      <c r="H93" s="29">
        <v>0.15479000000000001</v>
      </c>
      <c r="I93" s="29">
        <v>0.24141799999999999</v>
      </c>
      <c r="J93" s="29">
        <v>0.19639200000000001</v>
      </c>
      <c r="K93" s="29">
        <v>0.21890499999999999</v>
      </c>
      <c r="L93" s="29">
        <v>0.190609</v>
      </c>
      <c r="M93" s="29">
        <v>0.16212399999999999</v>
      </c>
      <c r="N93" s="29">
        <v>0.176367</v>
      </c>
      <c r="O93" s="26">
        <v>0.16512399999999999</v>
      </c>
      <c r="P93" s="26">
        <v>0.128196</v>
      </c>
      <c r="Q93" s="26">
        <v>0.14666000000000001</v>
      </c>
      <c r="R93" s="26">
        <v>0.13902900000000001</v>
      </c>
    </row>
    <row r="94" spans="1:18" x14ac:dyDescent="0.25">
      <c r="A94" s="26">
        <v>91</v>
      </c>
      <c r="B94" s="29">
        <v>0.24577089646202593</v>
      </c>
      <c r="C94" s="29">
        <v>0.2369809698908813</v>
      </c>
      <c r="D94" s="29">
        <v>0.20887042580487508</v>
      </c>
      <c r="E94" s="29">
        <v>0.21723000000000001</v>
      </c>
      <c r="F94" s="29">
        <v>0.20244000000000001</v>
      </c>
      <c r="G94" s="29">
        <v>0.12684999999999999</v>
      </c>
      <c r="H94" s="29">
        <v>0.16464500000000001</v>
      </c>
      <c r="I94" s="29">
        <v>0.25383299999999998</v>
      </c>
      <c r="J94" s="29">
        <v>0.215417</v>
      </c>
      <c r="K94" s="29">
        <v>0.234625</v>
      </c>
      <c r="L94" s="29">
        <v>0.21113899999999999</v>
      </c>
      <c r="M94" s="29">
        <v>0.181507</v>
      </c>
      <c r="N94" s="29">
        <v>0.196323</v>
      </c>
      <c r="O94" s="26">
        <v>0.18320700000000001</v>
      </c>
      <c r="P94" s="26">
        <v>0.143757</v>
      </c>
      <c r="Q94" s="26">
        <v>0.16348200000000002</v>
      </c>
      <c r="R94" s="26">
        <v>0.150645</v>
      </c>
    </row>
    <row r="95" spans="1:18" x14ac:dyDescent="0.25">
      <c r="A95" s="26">
        <v>92</v>
      </c>
      <c r="B95" s="29">
        <v>0.2659309049282339</v>
      </c>
      <c r="C95" s="29">
        <v>0.25345005632745027</v>
      </c>
      <c r="D95" s="29">
        <v>0.22881039340498799</v>
      </c>
      <c r="E95" s="29">
        <v>0.23591000000000001</v>
      </c>
      <c r="F95" s="29">
        <v>0.21783</v>
      </c>
      <c r="G95" s="29">
        <v>0.13688</v>
      </c>
      <c r="H95" s="29">
        <v>0.17735500000000001</v>
      </c>
      <c r="I95" s="29">
        <v>0.27155200000000002</v>
      </c>
      <c r="J95" s="29">
        <v>0.23933299999999999</v>
      </c>
      <c r="K95" s="29">
        <v>0.25544299999999998</v>
      </c>
      <c r="L95" s="29">
        <v>0.23260800000000001</v>
      </c>
      <c r="M95" s="29">
        <v>0.20294699999999999</v>
      </c>
      <c r="N95" s="29">
        <v>0.217778</v>
      </c>
      <c r="O95" s="26">
        <v>0.20214299999999999</v>
      </c>
      <c r="P95" s="26">
        <v>0.16098199999999999</v>
      </c>
      <c r="Q95" s="26">
        <v>0.18156249999999999</v>
      </c>
      <c r="R95" s="26">
        <v>0.163045</v>
      </c>
    </row>
    <row r="96" spans="1:18" x14ac:dyDescent="0.25">
      <c r="A96" s="26">
        <v>93</v>
      </c>
      <c r="B96" s="29">
        <v>0.28930085169339037</v>
      </c>
      <c r="C96" s="29">
        <v>0.27211026928088139</v>
      </c>
      <c r="D96" s="29">
        <v>0.25151042378465854</v>
      </c>
      <c r="E96" s="29">
        <v>0.25742999999999999</v>
      </c>
      <c r="F96" s="29">
        <v>0.23404</v>
      </c>
      <c r="G96" s="29">
        <v>0.15164</v>
      </c>
      <c r="H96" s="29">
        <v>0.19284000000000001</v>
      </c>
      <c r="I96" s="29">
        <v>0.30286299999999999</v>
      </c>
      <c r="J96" s="29">
        <v>0.27055000000000001</v>
      </c>
      <c r="K96" s="29">
        <v>0.28670699999999999</v>
      </c>
      <c r="L96" s="29">
        <v>0.25406299999999998</v>
      </c>
      <c r="M96" s="29">
        <v>0.22558400000000001</v>
      </c>
      <c r="N96" s="29">
        <v>0.23982400000000001</v>
      </c>
      <c r="O96" s="26">
        <v>0.22106999999999999</v>
      </c>
      <c r="P96" s="26">
        <v>0.17916699999999999</v>
      </c>
      <c r="Q96" s="26">
        <v>0.20011849999999998</v>
      </c>
      <c r="R96" s="26">
        <v>0.176292</v>
      </c>
    </row>
    <row r="97" spans="1:18" x14ac:dyDescent="0.25">
      <c r="A97" s="26">
        <v>94</v>
      </c>
      <c r="B97" s="29">
        <v>0.3166585789536609</v>
      </c>
      <c r="C97" s="29">
        <v>0.29590029801181489</v>
      </c>
      <c r="D97" s="29">
        <v>0.27930949079556078</v>
      </c>
      <c r="E97" s="29">
        <v>0.28381000000000001</v>
      </c>
      <c r="F97" s="29">
        <v>0.25113999999999997</v>
      </c>
      <c r="G97" s="29">
        <v>0.17030999999999999</v>
      </c>
      <c r="H97" s="29">
        <v>0.210725</v>
      </c>
      <c r="I97" s="29">
        <v>0.36899599999999999</v>
      </c>
      <c r="J97" s="29">
        <v>0.31351400000000001</v>
      </c>
      <c r="K97" s="29">
        <v>0.34125499999999998</v>
      </c>
      <c r="L97" s="29">
        <v>0.274057</v>
      </c>
      <c r="M97" s="29">
        <v>0.24765699999999999</v>
      </c>
      <c r="N97" s="29">
        <v>0.26085700000000001</v>
      </c>
      <c r="O97" s="26">
        <v>0.23868500000000001</v>
      </c>
      <c r="P97" s="26">
        <v>0.196877</v>
      </c>
      <c r="Q97" s="26">
        <v>0.217781</v>
      </c>
      <c r="R97" s="26">
        <v>0.19150400000000001</v>
      </c>
    </row>
    <row r="98" spans="1:18" x14ac:dyDescent="0.25">
      <c r="A98" s="26">
        <v>95</v>
      </c>
      <c r="B98" s="29">
        <v>0.3512375855503525</v>
      </c>
      <c r="C98" s="29">
        <v>0.32995958315442236</v>
      </c>
      <c r="D98" s="29">
        <v>0.31731948677427851</v>
      </c>
      <c r="E98" s="29">
        <v>0.32074000000000003</v>
      </c>
      <c r="F98" s="29">
        <v>0.26917000000000002</v>
      </c>
      <c r="G98" s="29">
        <v>0.19366</v>
      </c>
      <c r="H98" s="29">
        <v>0.23141500000000001</v>
      </c>
      <c r="I98" s="29">
        <v>0.44424400000000003</v>
      </c>
      <c r="J98" s="29">
        <v>0.370141</v>
      </c>
      <c r="K98" s="29">
        <v>0.40719300000000003</v>
      </c>
      <c r="L98" s="29">
        <v>0.29482700000000001</v>
      </c>
      <c r="M98" s="29">
        <v>0.27011000000000002</v>
      </c>
      <c r="N98" s="29">
        <v>0.28246900000000003</v>
      </c>
      <c r="O98" s="26">
        <v>0.25688100000000003</v>
      </c>
      <c r="P98" s="26">
        <v>0.21481600000000001</v>
      </c>
      <c r="Q98" s="26">
        <v>0.23584850000000002</v>
      </c>
      <c r="R98" s="26">
        <v>0.20825299999999999</v>
      </c>
    </row>
    <row r="99" spans="1:18" x14ac:dyDescent="0.25">
      <c r="A99" s="26">
        <v>96</v>
      </c>
      <c r="B99" s="29">
        <v>0.40055840220822692</v>
      </c>
      <c r="C99" s="29">
        <v>0.38455278763897505</v>
      </c>
      <c r="D99" s="29">
        <v>0.37574314542501674</v>
      </c>
      <c r="E99" s="29">
        <v>0.37792999999999999</v>
      </c>
      <c r="F99" s="29">
        <v>0.28564000000000001</v>
      </c>
      <c r="G99" s="29">
        <v>0.21565999999999999</v>
      </c>
      <c r="H99" s="29">
        <v>0.25064999999999998</v>
      </c>
      <c r="I99" s="29">
        <v>0.48022799999999999</v>
      </c>
      <c r="J99" s="29">
        <v>0.44552700000000001</v>
      </c>
      <c r="K99" s="29">
        <v>0.46287800000000001</v>
      </c>
      <c r="L99" s="29">
        <v>0.31694099999999997</v>
      </c>
      <c r="M99" s="29">
        <v>0.294153</v>
      </c>
      <c r="N99" s="29">
        <v>0.30554700000000001</v>
      </c>
      <c r="O99" s="26">
        <v>0.27610099999999999</v>
      </c>
      <c r="P99" s="26">
        <v>0.23389599999999999</v>
      </c>
      <c r="Q99" s="26">
        <v>0.25499850000000002</v>
      </c>
      <c r="R99" s="26">
        <v>0.22509699999999999</v>
      </c>
    </row>
    <row r="100" spans="1:18" x14ac:dyDescent="0.25">
      <c r="A100" s="26">
        <v>97</v>
      </c>
      <c r="B100" s="29">
        <v>0.48842194405483369</v>
      </c>
      <c r="C100" s="29">
        <v>0.4801996562210763</v>
      </c>
      <c r="D100" s="29">
        <v>0.47497262999281903</v>
      </c>
      <c r="E100" s="29">
        <v>0.47660999999999998</v>
      </c>
      <c r="F100" s="29">
        <v>0.30318000000000001</v>
      </c>
      <c r="G100" s="29">
        <v>0.23848</v>
      </c>
      <c r="H100" s="29">
        <v>0.27083000000000002</v>
      </c>
      <c r="I100" s="29">
        <v>0.50115799999999999</v>
      </c>
      <c r="J100" s="29">
        <v>0.55992799999999998</v>
      </c>
      <c r="K100" s="29">
        <v>0.53054299999999999</v>
      </c>
      <c r="L100" s="29">
        <v>0.34118100000000001</v>
      </c>
      <c r="M100" s="29">
        <v>0.32053900000000002</v>
      </c>
      <c r="N100" s="29">
        <v>0.33085999999999999</v>
      </c>
      <c r="O100" s="26">
        <v>0.29696600000000001</v>
      </c>
      <c r="P100" s="26">
        <v>0.254662</v>
      </c>
      <c r="Q100" s="26">
        <v>0.275814</v>
      </c>
      <c r="R100" s="26">
        <v>0.24299899999999999</v>
      </c>
    </row>
    <row r="101" spans="1:18" x14ac:dyDescent="0.25">
      <c r="A101" s="26">
        <v>98</v>
      </c>
      <c r="B101" s="29">
        <v>0.66814960426258341</v>
      </c>
      <c r="C101" s="29">
        <v>0.65796502384737676</v>
      </c>
      <c r="D101" s="29">
        <v>0.65584815973273247</v>
      </c>
      <c r="E101" s="29">
        <v>0.65644000000000002</v>
      </c>
      <c r="F101" s="29">
        <v>0.32188</v>
      </c>
      <c r="G101" s="29">
        <v>0.24215999999999999</v>
      </c>
      <c r="H101" s="29">
        <v>0.28201999999999999</v>
      </c>
      <c r="I101" s="29">
        <v>0.54044800000000004</v>
      </c>
      <c r="J101" s="29">
        <v>0.74779799999999996</v>
      </c>
      <c r="K101" s="29">
        <v>0.644123</v>
      </c>
      <c r="L101" s="29">
        <v>0.36648199999999997</v>
      </c>
      <c r="M101" s="29">
        <v>0.34868399999999999</v>
      </c>
      <c r="N101" s="29">
        <v>0.35758299999999998</v>
      </c>
      <c r="O101" s="26">
        <v>0.318494</v>
      </c>
      <c r="P101" s="26">
        <v>0.27659400000000001</v>
      </c>
      <c r="Q101" s="26">
        <v>0.29754400000000003</v>
      </c>
      <c r="R101" s="26">
        <v>0.262351</v>
      </c>
    </row>
    <row r="102" spans="1:18" x14ac:dyDescent="0.25">
      <c r="A102" s="26">
        <v>99</v>
      </c>
      <c r="B102" s="29">
        <v>1</v>
      </c>
      <c r="C102" s="29">
        <v>1</v>
      </c>
      <c r="D102" s="29">
        <v>1</v>
      </c>
      <c r="E102" s="29">
        <v>1</v>
      </c>
      <c r="F102" s="29">
        <v>0.34184999999999999</v>
      </c>
      <c r="G102" s="29">
        <v>0.25523000000000001</v>
      </c>
      <c r="H102" s="29">
        <v>0.29854000000000003</v>
      </c>
      <c r="I102" s="29">
        <v>1</v>
      </c>
      <c r="J102" s="29">
        <v>1</v>
      </c>
      <c r="K102" s="29">
        <v>1</v>
      </c>
      <c r="L102" s="29">
        <v>0.39254099999999997</v>
      </c>
      <c r="M102" s="29">
        <v>0.37792700000000001</v>
      </c>
      <c r="N102" s="29">
        <v>0.38523400000000002</v>
      </c>
      <c r="O102" s="26">
        <v>0.34037400000000001</v>
      </c>
      <c r="P102" s="26">
        <v>0.29911500000000002</v>
      </c>
      <c r="Q102" s="26">
        <v>0.31974449999999999</v>
      </c>
      <c r="R102" s="26">
        <v>0.28366999999999998</v>
      </c>
    </row>
    <row r="103" spans="1:18" x14ac:dyDescent="0.25">
      <c r="A103" s="26">
        <v>100</v>
      </c>
      <c r="B103" s="29"/>
      <c r="C103" s="29"/>
      <c r="D103" s="29"/>
      <c r="E103" s="29"/>
      <c r="F103" s="29">
        <v>0.36319000000000001</v>
      </c>
      <c r="G103" s="29">
        <v>0.27572999999999998</v>
      </c>
      <c r="H103" s="29">
        <v>0.31946000000000002</v>
      </c>
      <c r="I103" s="29"/>
      <c r="J103" s="29"/>
      <c r="K103" s="29"/>
      <c r="L103" s="29">
        <v>0.41922700000000002</v>
      </c>
      <c r="M103" s="29">
        <v>0.40808499999999998</v>
      </c>
      <c r="N103" s="29">
        <v>0.41365600000000002</v>
      </c>
      <c r="O103" s="26">
        <v>0.362456</v>
      </c>
      <c r="P103" s="26">
        <v>0.32204500000000003</v>
      </c>
      <c r="Q103" s="26">
        <v>0.34225050000000001</v>
      </c>
      <c r="R103" s="26">
        <v>0.30718600000000001</v>
      </c>
    </row>
    <row r="104" spans="1:18" x14ac:dyDescent="0.25">
      <c r="A104" s="26">
        <v>101</v>
      </c>
      <c r="B104" s="29"/>
      <c r="C104" s="29"/>
      <c r="D104" s="29"/>
      <c r="E104" s="29"/>
      <c r="F104" s="29">
        <v>0.38007999999999997</v>
      </c>
      <c r="G104" s="29">
        <v>0.29783999999999999</v>
      </c>
      <c r="H104" s="29">
        <v>0.33895999999999998</v>
      </c>
      <c r="I104" s="29"/>
      <c r="J104" s="29"/>
      <c r="K104" s="29"/>
      <c r="L104" s="29">
        <v>0.44639400000000001</v>
      </c>
      <c r="M104" s="29">
        <v>0.43895200000000001</v>
      </c>
      <c r="N104" s="29">
        <v>0.44267299999999998</v>
      </c>
      <c r="O104" s="26">
        <v>0.38459599999999999</v>
      </c>
      <c r="P104" s="26">
        <v>0.34519499999999997</v>
      </c>
      <c r="Q104" s="26">
        <v>0.36489549999999998</v>
      </c>
      <c r="R104" s="26">
        <v>0.33315600000000001</v>
      </c>
    </row>
    <row r="105" spans="1:18" x14ac:dyDescent="0.25">
      <c r="A105" s="26">
        <v>102</v>
      </c>
      <c r="B105" s="29"/>
      <c r="C105" s="29"/>
      <c r="D105" s="29"/>
      <c r="E105" s="29"/>
      <c r="F105" s="29">
        <v>0.39806000000000002</v>
      </c>
      <c r="G105" s="29">
        <v>0.32221</v>
      </c>
      <c r="H105" s="29">
        <v>0.36013499999999998</v>
      </c>
      <c r="I105" s="29"/>
      <c r="J105" s="29"/>
      <c r="K105" s="29"/>
      <c r="L105" s="29">
        <v>0.473885</v>
      </c>
      <c r="M105" s="29">
        <v>0.47029900000000002</v>
      </c>
      <c r="N105" s="29">
        <v>0.47209200000000001</v>
      </c>
      <c r="O105" s="26">
        <v>0.40665800000000002</v>
      </c>
      <c r="P105" s="26">
        <v>0.36837500000000001</v>
      </c>
      <c r="Q105" s="26">
        <v>0.38751650000000004</v>
      </c>
      <c r="R105" s="26">
        <v>0.36197499999999999</v>
      </c>
    </row>
    <row r="106" spans="1:18" x14ac:dyDescent="0.25">
      <c r="A106" s="26">
        <v>103</v>
      </c>
      <c r="B106" s="29"/>
      <c r="C106" s="29"/>
      <c r="D106" s="29"/>
      <c r="E106" s="29"/>
      <c r="F106" s="29">
        <v>0.41720000000000002</v>
      </c>
      <c r="G106" s="29">
        <v>0.34905999999999998</v>
      </c>
      <c r="H106" s="29">
        <v>0.38313000000000003</v>
      </c>
      <c r="I106" s="29"/>
      <c r="J106" s="29"/>
      <c r="K106" s="29"/>
      <c r="L106" s="29">
        <v>0.50153499999999995</v>
      </c>
      <c r="M106" s="29">
        <v>0.50188100000000002</v>
      </c>
      <c r="N106" s="29">
        <v>0.50170800000000004</v>
      </c>
      <c r="O106" s="26">
        <v>0.42851499999999998</v>
      </c>
      <c r="P106" s="26">
        <v>0.391405</v>
      </c>
      <c r="Q106" s="26">
        <v>0.40995999999999999</v>
      </c>
      <c r="R106" s="26">
        <v>0.39447199999999999</v>
      </c>
    </row>
    <row r="107" spans="1:18" x14ac:dyDescent="0.25">
      <c r="A107" s="26">
        <v>104</v>
      </c>
      <c r="B107" s="29"/>
      <c r="C107" s="29"/>
      <c r="D107" s="29"/>
      <c r="E107" s="29"/>
      <c r="F107" s="29">
        <v>0.43756</v>
      </c>
      <c r="G107" s="29">
        <v>0.37861</v>
      </c>
      <c r="H107" s="29">
        <v>0.40808499999999998</v>
      </c>
      <c r="I107" s="29"/>
      <c r="J107" s="29"/>
      <c r="K107" s="29"/>
      <c r="L107" s="29">
        <v>0.52917599999999998</v>
      </c>
      <c r="M107" s="29">
        <v>0.53344800000000003</v>
      </c>
      <c r="N107" s="29">
        <v>0.53131200000000001</v>
      </c>
      <c r="O107" s="26">
        <v>0.45005400000000001</v>
      </c>
      <c r="P107" s="26">
        <v>0.41411100000000001</v>
      </c>
      <c r="Q107" s="26">
        <v>0.43208250000000004</v>
      </c>
      <c r="R107" s="26">
        <v>0.43280800000000003</v>
      </c>
    </row>
    <row r="108" spans="1:18" x14ac:dyDescent="0.25">
      <c r="A108" s="26">
        <v>105</v>
      </c>
      <c r="B108" s="29"/>
      <c r="C108" s="29"/>
      <c r="D108" s="29"/>
      <c r="E108" s="29"/>
      <c r="F108" s="29">
        <v>0.45921000000000001</v>
      </c>
      <c r="G108" s="29">
        <v>0.41056999999999999</v>
      </c>
      <c r="H108" s="29">
        <v>0.43489</v>
      </c>
      <c r="I108" s="29"/>
      <c r="J108" s="29"/>
      <c r="K108" s="29"/>
      <c r="L108" s="29">
        <v>0.55663899999999999</v>
      </c>
      <c r="M108" s="29">
        <v>0.56474999999999997</v>
      </c>
      <c r="N108" s="29">
        <v>0.56069500000000005</v>
      </c>
      <c r="O108" s="26">
        <v>0.47116999999999998</v>
      </c>
      <c r="P108" s="26">
        <v>0.436336</v>
      </c>
      <c r="Q108" s="26">
        <v>0.45375299999999996</v>
      </c>
      <c r="R108" s="26">
        <v>0.47867399999999999</v>
      </c>
    </row>
    <row r="109" spans="1:18" x14ac:dyDescent="0.25">
      <c r="A109" s="26">
        <v>106</v>
      </c>
      <c r="B109" s="29"/>
      <c r="C109" s="29"/>
      <c r="D109" s="29"/>
      <c r="E109" s="29"/>
      <c r="F109" s="29">
        <v>0.48221999999999998</v>
      </c>
      <c r="G109" s="29">
        <v>0.44333</v>
      </c>
      <c r="H109" s="29">
        <v>0.46277499999999999</v>
      </c>
      <c r="I109" s="29"/>
      <c r="J109" s="29"/>
      <c r="K109" s="29"/>
      <c r="L109" s="29">
        <v>0.58375999999999995</v>
      </c>
      <c r="M109" s="29">
        <v>0.59554399999999996</v>
      </c>
      <c r="N109" s="29">
        <v>0.58965199999999995</v>
      </c>
      <c r="O109" s="26">
        <v>0.49177199999999999</v>
      </c>
      <c r="P109" s="26">
        <v>0.45793499999999998</v>
      </c>
      <c r="Q109" s="26">
        <v>0.47485349999999998</v>
      </c>
      <c r="R109" s="26">
        <v>0.53391599999999995</v>
      </c>
    </row>
    <row r="110" spans="1:18" x14ac:dyDescent="0.25">
      <c r="A110" s="26">
        <v>107</v>
      </c>
      <c r="B110" s="29"/>
      <c r="C110" s="29"/>
      <c r="D110" s="29"/>
      <c r="E110" s="29"/>
      <c r="F110" s="29">
        <v>0.50668999999999997</v>
      </c>
      <c r="G110" s="29">
        <v>0.47688999999999998</v>
      </c>
      <c r="H110" s="29">
        <v>0.49179</v>
      </c>
      <c r="I110" s="29"/>
      <c r="J110" s="29"/>
      <c r="K110" s="29"/>
      <c r="L110" s="29">
        <v>0.61038300000000001</v>
      </c>
      <c r="M110" s="29">
        <v>0.62560400000000005</v>
      </c>
      <c r="N110" s="29">
        <v>0.61799400000000004</v>
      </c>
      <c r="O110" s="26">
        <v>0.51177799999999996</v>
      </c>
      <c r="P110" s="26">
        <v>0.47878399999999999</v>
      </c>
      <c r="Q110" s="26">
        <v>0.49528099999999997</v>
      </c>
      <c r="R110" s="26">
        <v>0.600414</v>
      </c>
    </row>
    <row r="111" spans="1:18" x14ac:dyDescent="0.25">
      <c r="A111" s="26">
        <v>108</v>
      </c>
      <c r="B111" s="29"/>
      <c r="C111" s="29"/>
      <c r="D111" s="29"/>
      <c r="E111" s="29"/>
      <c r="F111" s="29">
        <v>0.53269</v>
      </c>
      <c r="G111" s="29">
        <v>0.51065000000000005</v>
      </c>
      <c r="H111" s="29">
        <v>0.52166999999999997</v>
      </c>
      <c r="I111" s="29"/>
      <c r="J111" s="29"/>
      <c r="K111" s="29"/>
      <c r="L111" s="29">
        <v>0.63636400000000004</v>
      </c>
      <c r="M111" s="29">
        <v>0.654725</v>
      </c>
      <c r="N111" s="29">
        <v>0.64554500000000004</v>
      </c>
      <c r="O111" s="26">
        <v>0.53111799999999998</v>
      </c>
      <c r="P111" s="26">
        <v>0.49877500000000002</v>
      </c>
      <c r="Q111" s="26">
        <v>0.51494649999999997</v>
      </c>
      <c r="R111" s="26">
        <v>0.68007600000000001</v>
      </c>
    </row>
    <row r="112" spans="1:18" x14ac:dyDescent="0.25">
      <c r="A112" s="26">
        <v>109</v>
      </c>
      <c r="B112" s="29"/>
      <c r="C112" s="29"/>
      <c r="D112" s="29"/>
      <c r="E112" s="29"/>
      <c r="F112" s="29">
        <v>0.56030999999999997</v>
      </c>
      <c r="G112" s="29">
        <v>0.54581000000000002</v>
      </c>
      <c r="H112" s="29">
        <v>0.55306</v>
      </c>
      <c r="I112" s="29"/>
      <c r="J112" s="29"/>
      <c r="K112" s="29"/>
      <c r="L112" s="29">
        <v>0.661574</v>
      </c>
      <c r="M112" s="29">
        <v>0.68272999999999995</v>
      </c>
      <c r="N112" s="29">
        <v>0.67215199999999997</v>
      </c>
      <c r="O112" s="26">
        <v>0.54973000000000005</v>
      </c>
      <c r="P112" s="26">
        <v>0.517822</v>
      </c>
      <c r="Q112" s="26">
        <v>0.53377600000000003</v>
      </c>
      <c r="R112" s="26">
        <v>0.77484500000000001</v>
      </c>
    </row>
    <row r="113" spans="1:18" x14ac:dyDescent="0.25">
      <c r="A113" s="26">
        <v>110</v>
      </c>
      <c r="B113" s="29"/>
      <c r="C113" s="29"/>
      <c r="D113" s="29"/>
      <c r="E113" s="29"/>
      <c r="F113" s="29">
        <v>0.58964000000000005</v>
      </c>
      <c r="G113" s="29">
        <v>0.58177000000000001</v>
      </c>
      <c r="H113" s="29">
        <v>0.58570500000000003</v>
      </c>
      <c r="I113" s="29"/>
      <c r="J113" s="29"/>
      <c r="K113" s="29"/>
      <c r="L113" s="29">
        <v>0.68589800000000001</v>
      </c>
      <c r="M113" s="29">
        <v>0.70947099999999996</v>
      </c>
      <c r="N113" s="29">
        <v>0.697685</v>
      </c>
      <c r="O113" s="26">
        <v>0.56756300000000004</v>
      </c>
      <c r="P113" s="26">
        <v>0.53585799999999995</v>
      </c>
      <c r="Q113" s="26">
        <v>0.55171049999999999</v>
      </c>
      <c r="R113" s="26">
        <v>1</v>
      </c>
    </row>
    <row r="114" spans="1:18" x14ac:dyDescent="0.25">
      <c r="A114" s="26">
        <v>111</v>
      </c>
      <c r="B114" s="29"/>
      <c r="C114" s="29"/>
      <c r="D114" s="29"/>
      <c r="E114" s="29"/>
      <c r="F114" s="29">
        <v>0.62078999999999995</v>
      </c>
      <c r="G114" s="29">
        <v>0.61633000000000004</v>
      </c>
      <c r="H114" s="29">
        <v>0.61856</v>
      </c>
      <c r="I114" s="29"/>
      <c r="J114" s="29"/>
      <c r="K114" s="29"/>
      <c r="L114" s="29"/>
      <c r="M114" s="29"/>
      <c r="N114" s="29"/>
      <c r="O114" s="26">
        <v>0.57461159563336794</v>
      </c>
      <c r="P114" s="26">
        <v>0.55475426003174722</v>
      </c>
      <c r="Q114" s="26">
        <v>0.56468292783255758</v>
      </c>
    </row>
    <row r="115" spans="1:18" x14ac:dyDescent="0.25">
      <c r="A115" s="26">
        <v>112</v>
      </c>
      <c r="B115" s="29"/>
      <c r="C115" s="29"/>
      <c r="D115" s="29"/>
      <c r="E115" s="29"/>
      <c r="F115" s="29">
        <v>0.65383999999999998</v>
      </c>
      <c r="G115" s="29">
        <v>0.64985000000000004</v>
      </c>
      <c r="H115" s="29">
        <v>0.65184500000000001</v>
      </c>
      <c r="I115" s="29"/>
      <c r="J115" s="29"/>
      <c r="K115" s="29"/>
      <c r="L115" s="29"/>
      <c r="M115" s="29"/>
      <c r="N115" s="29"/>
      <c r="O115" s="26">
        <v>0.60828763307004297</v>
      </c>
      <c r="P115" s="26">
        <v>0.59106455465471497</v>
      </c>
      <c r="Q115" s="26">
        <v>0.59967609386237897</v>
      </c>
    </row>
    <row r="116" spans="1:18" x14ac:dyDescent="0.25">
      <c r="A116" s="26">
        <v>113</v>
      </c>
      <c r="B116" s="29"/>
      <c r="C116" s="29"/>
      <c r="D116" s="29"/>
      <c r="E116" s="29"/>
      <c r="F116" s="29">
        <v>0.68894</v>
      </c>
      <c r="G116" s="29">
        <v>0.68037000000000003</v>
      </c>
      <c r="H116" s="29">
        <v>0.68465500000000001</v>
      </c>
      <c r="I116" s="29"/>
      <c r="J116" s="29"/>
      <c r="K116" s="29"/>
      <c r="L116" s="29"/>
      <c r="M116" s="29"/>
      <c r="N116" s="29"/>
      <c r="O116" s="26">
        <v>0.64396244284743176</v>
      </c>
      <c r="P116" s="26">
        <v>0.629751464638025</v>
      </c>
      <c r="Q116" s="26">
        <v>0.63685695374272844</v>
      </c>
    </row>
    <row r="117" spans="1:18" x14ac:dyDescent="0.25">
      <c r="A117" s="26">
        <v>114</v>
      </c>
      <c r="B117" s="29"/>
      <c r="C117" s="29"/>
      <c r="D117" s="29"/>
      <c r="E117" s="29"/>
      <c r="F117" s="29">
        <v>0.72618000000000005</v>
      </c>
      <c r="G117" s="29">
        <v>0.72338999999999998</v>
      </c>
      <c r="H117" s="29">
        <v>0.72478500000000001</v>
      </c>
      <c r="I117" s="29"/>
      <c r="J117" s="29"/>
      <c r="K117" s="29"/>
      <c r="L117" s="29"/>
      <c r="M117" s="29"/>
      <c r="N117" s="29"/>
      <c r="O117" s="26">
        <v>0.68175612376425498</v>
      </c>
      <c r="P117" s="26">
        <v>0.67097054643280674</v>
      </c>
      <c r="Q117" s="26">
        <v>0.67636333509853086</v>
      </c>
    </row>
    <row r="118" spans="1:18" x14ac:dyDescent="0.25">
      <c r="A118" s="26">
        <v>115</v>
      </c>
      <c r="B118" s="29"/>
      <c r="C118" s="29"/>
      <c r="D118" s="29"/>
      <c r="E118" s="29"/>
      <c r="F118" s="29">
        <v>0.76570000000000005</v>
      </c>
      <c r="G118" s="29">
        <v>0.76341000000000003</v>
      </c>
      <c r="H118" s="29">
        <v>0.76455499999999998</v>
      </c>
      <c r="I118" s="29"/>
      <c r="J118" s="29"/>
      <c r="K118" s="29"/>
      <c r="L118" s="29"/>
      <c r="M118" s="29"/>
      <c r="N118" s="29"/>
      <c r="O118" s="26">
        <v>0.7217960753139544</v>
      </c>
      <c r="P118" s="26">
        <v>0.7148875381165023</v>
      </c>
      <c r="Q118" s="26">
        <v>0.71834180671522829</v>
      </c>
    </row>
    <row r="119" spans="1:18" x14ac:dyDescent="0.25">
      <c r="A119" s="26">
        <v>116</v>
      </c>
      <c r="B119" s="29"/>
      <c r="C119" s="29"/>
      <c r="D119" s="29"/>
      <c r="E119" s="29"/>
      <c r="F119" s="29">
        <v>0.80761000000000005</v>
      </c>
      <c r="G119" s="29">
        <v>0.80493000000000003</v>
      </c>
      <c r="H119" s="29">
        <v>0.80627000000000004</v>
      </c>
      <c r="I119" s="29"/>
      <c r="J119" s="29"/>
      <c r="K119" s="29"/>
      <c r="L119" s="29"/>
      <c r="M119" s="29"/>
      <c r="N119" s="29"/>
      <c r="O119" s="26">
        <v>0.76421744628821453</v>
      </c>
      <c r="P119" s="26">
        <v>0.76167902581019364</v>
      </c>
      <c r="Q119" s="26">
        <v>0.76294823604920414</v>
      </c>
    </row>
    <row r="120" spans="1:18" x14ac:dyDescent="0.25">
      <c r="A120" s="26">
        <v>117</v>
      </c>
      <c r="B120" s="29"/>
      <c r="C120" s="29"/>
      <c r="D120" s="29"/>
      <c r="E120" s="29"/>
      <c r="F120" s="29">
        <v>0.85206999999999999</v>
      </c>
      <c r="G120" s="29">
        <v>0.85043999999999997</v>
      </c>
      <c r="H120" s="29">
        <v>0.85125499999999998</v>
      </c>
      <c r="I120" s="29"/>
      <c r="J120" s="29"/>
      <c r="K120" s="29"/>
      <c r="L120" s="29"/>
      <c r="M120" s="29"/>
      <c r="N120" s="29"/>
      <c r="O120" s="26">
        <v>0.80916361121561953</v>
      </c>
      <c r="P120" s="26">
        <v>0.81153315371489954</v>
      </c>
      <c r="Q120" s="26">
        <v>0.81034838246525953</v>
      </c>
    </row>
    <row r="121" spans="1:18" x14ac:dyDescent="0.25">
      <c r="A121" s="26">
        <v>118</v>
      </c>
      <c r="B121" s="29"/>
      <c r="C121" s="29"/>
      <c r="D121" s="29"/>
      <c r="E121" s="29"/>
      <c r="F121" s="29">
        <v>0.89922999999999997</v>
      </c>
      <c r="G121" s="29">
        <v>0.89244000000000001</v>
      </c>
      <c r="H121" s="29">
        <v>0.89583500000000005</v>
      </c>
      <c r="I121" s="29"/>
      <c r="J121" s="29"/>
      <c r="K121" s="29"/>
      <c r="L121" s="29"/>
      <c r="M121" s="29"/>
      <c r="N121" s="29"/>
      <c r="O121" s="26">
        <v>0.85678667637758488</v>
      </c>
      <c r="P121" s="26">
        <v>0.86465038062183297</v>
      </c>
      <c r="Q121" s="26">
        <v>0.86071852849970898</v>
      </c>
    </row>
    <row r="122" spans="1:18" x14ac:dyDescent="0.25">
      <c r="A122" s="26">
        <v>119</v>
      </c>
      <c r="B122" s="29"/>
      <c r="C122" s="29"/>
      <c r="D122" s="29"/>
      <c r="E122" s="29"/>
      <c r="F122" s="29">
        <v>0.94921999999999995</v>
      </c>
      <c r="G122" s="29">
        <v>0.93511</v>
      </c>
      <c r="H122" s="29">
        <v>0.94216500000000003</v>
      </c>
      <c r="I122" s="29"/>
      <c r="J122" s="29"/>
      <c r="K122" s="29"/>
      <c r="L122" s="29"/>
      <c r="M122" s="29"/>
      <c r="N122" s="29"/>
      <c r="O122" s="26">
        <v>0.90724801725356952</v>
      </c>
      <c r="P122" s="26">
        <v>0.92124428593847396</v>
      </c>
      <c r="Q122" s="26">
        <v>0.91424615159602174</v>
      </c>
    </row>
    <row r="123" spans="1:18" x14ac:dyDescent="0.25">
      <c r="A123" s="26">
        <v>120</v>
      </c>
      <c r="B123" s="29"/>
      <c r="C123" s="29"/>
      <c r="D123" s="29"/>
      <c r="E123" s="29"/>
      <c r="F123" s="29">
        <v>1</v>
      </c>
      <c r="G123" s="29">
        <v>1</v>
      </c>
      <c r="H123" s="29">
        <v>1</v>
      </c>
      <c r="I123" s="29"/>
      <c r="J123" s="29"/>
      <c r="K123" s="29"/>
      <c r="L123" s="29"/>
      <c r="M123" s="29"/>
      <c r="N123" s="29"/>
      <c r="O123" s="26">
        <v>0.96071884936440854</v>
      </c>
      <c r="P123" s="26">
        <v>0.98154242847141715</v>
      </c>
      <c r="Q123" s="26">
        <v>0.97113063891791285</v>
      </c>
    </row>
    <row r="124" spans="1:18" x14ac:dyDescent="0.25">
      <c r="A124" s="2">
        <v>121</v>
      </c>
      <c r="O124" s="26">
        <v>1</v>
      </c>
      <c r="P124" s="26">
        <v>1</v>
      </c>
      <c r="Q124" s="26">
        <v>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B19E83AE474E6F449553A77AB887E344" ma:contentTypeVersion="200" ma:contentTypeDescription="Yeni belge oluşturun." ma:contentTypeScope="" ma:versionID="98a4830e5bc8b66d9554754b7bf6bd42">
  <xsd:schema xmlns:xsd="http://www.w3.org/2001/XMLSchema" xmlns:xs="http://www.w3.org/2001/XMLSchema" xmlns:p="http://schemas.microsoft.com/office/2006/metadata/properties" xmlns:ns1="http://schemas.microsoft.com/sharepoint/v3" xmlns:ns2="f29dd610-4296-4b97-95da-bd9fb6eed76b" targetNamespace="http://schemas.microsoft.com/office/2006/metadata/properties" ma:root="true" ma:fieldsID="2a2a19e16a3c6e631a5bf8778ebcc007" ns1:_="" ns2:_="">
    <xsd:import namespace="http://schemas.microsoft.com/sharepoint/v3"/>
    <xsd:import namespace="f29dd610-4296-4b97-95da-bd9fb6eed76b"/>
    <xsd:element name="properties">
      <xsd:complexType>
        <xsd:sequence>
          <xsd:element name="documentManagement">
            <xsd:complexType>
              <xsd:all>
                <xsd:element ref="ns2:_dlc_BarcodeValue" minOccurs="0"/>
                <xsd:element ref="ns2:_dlc_BarcodeImage" minOccurs="0"/>
                <xsd:element ref="ns2:_dlc_BarcodePreview" minOccurs="0"/>
                <xsd:element ref="ns1:_dlc_Exemp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1" nillable="true" ma:displayName="İlkenin Dışında Tut" ma:hidden="true" ma:internalName="_dlc_Exempt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9dd610-4296-4b97-95da-bd9fb6eed76b" elementFormDefault="qualified">
    <xsd:import namespace="http://schemas.microsoft.com/office/2006/documentManagement/types"/>
    <xsd:import namespace="http://schemas.microsoft.com/office/infopath/2007/PartnerControls"/>
    <xsd:element name="_dlc_BarcodeValue" ma:index="8" nillable="true" ma:displayName="Barkod Değeri" ma:description="Bu öğeye atanan barkodun değeri." ma:internalName="_dlc_BarcodeValue" ma:readOnly="true">
      <xsd:simpleType>
        <xsd:restriction base="dms:Text"/>
      </xsd:simpleType>
    </xsd:element>
    <xsd:element name="_dlc_BarcodeImage" ma:index="9" nillable="true" ma:displayName="Barkod Görüntüsü" ma:description="" ma:hidden="true" ma:internalName="_dlc_BarcodeImage" ma:readOnly="false">
      <xsd:simpleType>
        <xsd:restriction base="dms:Note"/>
      </xsd:simpleType>
    </xsd:element>
    <xsd:element name="_dlc_BarcodePreview" ma:index="10" nillable="true" ma:displayName="Barkod" ma:description="Bu öğeye atanan barkod." ma:format="Image" ma:hidden="true" ma:internalName="_dlc_BarcodePreview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p:Policy xmlns:p="office.server.policy" id="" local="true">
  <p:Name>Belge</p:Name>
  <p:Description/>
  <p:Statement/>
  <p:PolicyItems>
    <p:PolicyItem featureId="Microsoft.Office.RecordsManagement.PolicyFeatures.PolicyAudit" staticId="0x0101|8138272" UniqueId="798238ce-2b7c-47e7-a4cb-f72b348cbcbe">
      <p:Name>Denetleme</p:Name>
      <p:Description>Belgelerdeki kullanıcı eylemlerini denetleyip öğeleri Denetim Günlüğü'ne listeler.</p:Description>
      <p:CustomData>
        <Audit>
          <Update/>
          <View/>
          <CheckInOut/>
          <MoveCopy/>
          <DeleteRestore/>
        </Audit>
      </p:CustomData>
    </p:PolicyItem>
  </p:PolicyItems>
</p:Policy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BarcodeImage xmlns="f29dd610-4296-4b97-95da-bd9fb6eed76b" xsi:nil="true"/>
  </documentManagement>
</p:properties>
</file>

<file path=customXml/item5.xml><?xml version="1.0" encoding="utf-8"?>
<?mso-contentType ?>
<spe:Receivers xmlns:spe="http://schemas.microsoft.com/sharepoint/events">
  <Receiver>
    <Name>Policy Barcode Generator</Name>
    <Synchronization>Synchronous</Synchronization>
    <Type>10001</Type>
    <SequenceNumber>1000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10002</Type>
    <SequenceNumber>1001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10004</Type>
    <SequenceNumber>1002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10006</Type>
    <SequenceNumber>1003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</spe:Receivers>
</file>

<file path=customXml/itemProps1.xml><?xml version="1.0" encoding="utf-8"?>
<ds:datastoreItem xmlns:ds="http://schemas.openxmlformats.org/officeDocument/2006/customXml" ds:itemID="{CB5E9475-1BD8-4B6E-B4D9-550E1DC563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29dd610-4296-4b97-95da-bd9fb6eed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650ED3F-C227-4D40-85F8-A5A7F4DC1A64}">
  <ds:schemaRefs>
    <ds:schemaRef ds:uri="office.server.policy"/>
  </ds:schemaRefs>
</ds:datastoreItem>
</file>

<file path=customXml/itemProps3.xml><?xml version="1.0" encoding="utf-8"?>
<ds:datastoreItem xmlns:ds="http://schemas.openxmlformats.org/officeDocument/2006/customXml" ds:itemID="{19E680F4-B282-4DD7-B9E6-1F6184EF5D8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097FC03-1899-49CA-9C34-D74093FAFE09}">
  <ds:schemaRefs>
    <ds:schemaRef ds:uri="http://purl.org/dc/elements/1.1/"/>
    <ds:schemaRef ds:uri="http://purl.org/dc/terms/"/>
    <ds:schemaRef ds:uri="f29dd610-4296-4b97-95da-bd9fb6eed76b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sharepoint/v3"/>
    <ds:schemaRef ds:uri="http://schemas.microsoft.com/office/2006/metadata/properties"/>
    <ds:schemaRef ds:uri="http://schemas.microsoft.com/office/infopath/2007/PartnerControls"/>
    <ds:schemaRef ds:uri="http://www.w3.org/XML/1998/namespace"/>
  </ds:schemaRefs>
</ds:datastoreItem>
</file>

<file path=customXml/itemProps5.xml><?xml version="1.0" encoding="utf-8"?>
<ds:datastoreItem xmlns:ds="http://schemas.openxmlformats.org/officeDocument/2006/customXml" ds:itemID="{3BFE6D5A-9001-40E1-9E53-71307D4EF1AE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15</vt:i4>
      </vt:variant>
    </vt:vector>
  </HeadingPairs>
  <TitlesOfParts>
    <vt:vector size="23" baseType="lpstr">
      <vt:lpstr>Hesap</vt:lpstr>
      <vt:lpstr>Otomasyon</vt:lpstr>
      <vt:lpstr>uyarilar</vt:lpstr>
      <vt:lpstr>sonuc</vt:lpstr>
      <vt:lpstr>veri</vt:lpstr>
      <vt:lpstr>tarife_parametreleri</vt:lpstr>
      <vt:lpstr>komutasyon_tablo</vt:lpstr>
      <vt:lpstr>qx'ler</vt:lpstr>
      <vt:lpstr>doğum_tarihi</vt:lpstr>
      <vt:lpstr>gpo</vt:lpstr>
      <vt:lpstr>iptal_tarihi</vt:lpstr>
      <vt:lpstr>mortalite_tablosu</vt:lpstr>
      <vt:lpstr>odeme_turu</vt:lpstr>
      <vt:lpstr>police_baslangic_tarihi</vt:lpstr>
      <vt:lpstr>police_bitis_tarihi</vt:lpstr>
      <vt:lpstr>sure</vt:lpstr>
      <vt:lpstr>tablo_komutasyon</vt:lpstr>
      <vt:lpstr>tarife_no</vt:lpstr>
      <vt:lpstr>tarife_parametreleri</vt:lpstr>
      <vt:lpstr>tfo</vt:lpstr>
      <vt:lpstr>umo</vt:lpstr>
      <vt:lpstr>vefat_teminat</vt:lpstr>
      <vt:lpstr>yas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Batuhan Bozdag</dc:creator>
  <cp:keywords>GENEL</cp:keywords>
  <cp:lastModifiedBy>Cihan Hizlikan</cp:lastModifiedBy>
  <dcterms:created xsi:type="dcterms:W3CDTF">2015-04-01T11:36:59Z</dcterms:created>
  <dcterms:modified xsi:type="dcterms:W3CDTF">2018-10-09T13:21:50Z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4f842861-75ca-4edb-9670-2e371a2c6662</vt:lpwstr>
  </property>
  <property fmtid="{D5CDD505-2E9C-101B-9397-08002B2CF9AE}" pid="3" name="AHEClassification">
    <vt:lpwstr>GENEL</vt:lpwstr>
  </property>
  <property fmtid="{D5CDD505-2E9C-101B-9397-08002B2CF9AE}" pid="4" name="ContentTypeId">
    <vt:lpwstr>0x010100B19E83AE474E6F449553A77AB887E344</vt:lpwstr>
  </property>
  <property fmtid="{D5CDD505-2E9C-101B-9397-08002B2CF9AE}" pid="5" name="Ürün Türü">
    <vt:lpwstr>3. ksv</vt:lpwstr>
  </property>
  <property fmtid="{D5CDD505-2E9C-101B-9397-08002B2CF9AE}" pid="6" name="Classification">
    <vt:lpwstr>GENEL</vt:lpwstr>
  </property>
</Properties>
</file>