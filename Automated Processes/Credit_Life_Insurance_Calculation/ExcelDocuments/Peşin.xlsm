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PRO2456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<sst xmlns="http://schemas.openxmlformats.org/spreadsheetml/2006/main" count="989" uniqueCount="134">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</sst>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/>
    <xf numFmtId="0" fontId="0" fillId="0" borderId="13" xfId="0" applyNumberFormat="1" applyFont="1" applyFill="1" applyBorder="1" applyAlignment="1" applyProtection="1">
      <alignment vertical="top"/>
      <protection locked="0"/>
    </xf>
    <xf numFmtId="0" fontId="1" fillId="0" borderId="13" xfId="7" applyNumberFormat="1" applyFont="1" applyFill="1" applyBorder="1" applyAlignment="1" applyProtection="1">
      <alignment vertical="top"/>
      <protection locked="0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0" t="s">
        <v>85</v>
      </c>
      <c r="B1" s="61"/>
      <c r="D1" s="60" t="s">
        <v>81</v>
      </c>
      <c r="E1" s="61"/>
    </row>
    <row r="2" spans="1:13" ht="15.75" thickBot="1" x14ac:dyDescent="0.3">
      <c r="A2" s="32" t="s">
        <v>12</v>
      </c>
      <c r="B2" s="43">
        <v>2107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58.557692307692406</v>
      </c>
      <c r="F3" s="11">
        <f>E3/12</f>
        <v>4.8798076923077005</v>
      </c>
    </row>
    <row r="4" spans="1:13" x14ac:dyDescent="0.25">
      <c r="A4" s="32" t="s">
        <v>34</v>
      </c>
      <c r="B4" s="44">
        <v>43391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189</v>
      </c>
      <c r="F4" s="11">
        <f>E4/12</f>
        <v>15.75</v>
      </c>
      <c r="L4" s="47"/>
      <c r="M4" s="48"/>
    </row>
    <row r="5" spans="1:13" x14ac:dyDescent="0.25">
      <c r="A5" s="32" t="s">
        <v>35</v>
      </c>
      <c r="B5" s="44">
        <v>28512</v>
      </c>
      <c r="C5" s="6"/>
      <c r="D5" s="32" t="s">
        <v>107</v>
      </c>
      <c r="E5" s="11">
        <f>ROUND((E3/12)/(1-umo-gpo),2)</f>
        <v>15.79</v>
      </c>
      <c r="F5" s="11">
        <f t="shared" ref="F5:F8" si="0">E5/12</f>
        <v>1.3158333333333332</v>
      </c>
      <c r="H5" s="6"/>
    </row>
    <row r="6" spans="1:13" x14ac:dyDescent="0.25">
      <c r="A6" s="32" t="s">
        <v>28</v>
      </c>
      <c r="B6" s="43">
        <v>12</v>
      </c>
      <c r="C6" s="6"/>
      <c r="D6" s="32" t="s">
        <v>38</v>
      </c>
      <c r="E6" s="11">
        <f>E4*umo</f>
        <v>47.25</v>
      </c>
      <c r="F6" s="11">
        <f t="shared" si="0"/>
        <v>3.9375</v>
      </c>
      <c r="H6" s="6"/>
    </row>
    <row r="7" spans="1:13" x14ac:dyDescent="0.25">
      <c r="A7" s="32" t="s">
        <v>29</v>
      </c>
      <c r="B7" s="45">
        <v>15000</v>
      </c>
      <c r="C7" s="6"/>
      <c r="D7" s="32" t="s">
        <v>39</v>
      </c>
      <c r="E7" s="11">
        <f>E4*gpo</f>
        <v>83.349000000000004</v>
      </c>
      <c r="F7" s="11">
        <f t="shared" si="0"/>
        <v>6.9457500000000003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503.83</v>
      </c>
      <c r="F8" s="11">
        <f t="shared" si="0"/>
        <v>41.985833333333332</v>
      </c>
      <c r="G8" s="9"/>
      <c r="H8" s="6"/>
    </row>
    <row r="9" spans="1:13" x14ac:dyDescent="0.25">
      <c r="A9" s="32" t="s">
        <v>33</v>
      </c>
      <c r="B9" s="34">
        <f>EDATE(B4,B6)</f>
        <v>43756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973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0" t="s">
        <v>80</v>
      </c>
      <c r="B17" s="61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0.441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1018</v>
      </c>
    </row>
    <row r="28" spans="1:8" x14ac:dyDescent="0.25">
      <c r="A28" s="32" t="s">
        <v>87</v>
      </c>
      <c r="B28" s="33">
        <f>MONTH(doğum_tarihi)*100+DAY(doğum_tarihi)</f>
        <v>122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tabSelected="1" workbookViewId="0">
      <selection activeCell="A30" sqref="A30:F42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7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s="57" t="s">
        <v>90</v>
      </c>
      <c r="B1" s="57" t="s">
        <v>91</v>
      </c>
      <c r="C1" s="57" t="s">
        <v>130</v>
      </c>
      <c r="D1" s="57" t="s">
        <v>131</v>
      </c>
      <c r="E1" s="57" t="s">
        <v>132</v>
      </c>
      <c r="F1" s="57" t="s">
        <v>133</v>
      </c>
    </row>
    <row r="2" spans="1:6" x14ac:dyDescent="0.25">
      <c r="A2" s="57">
        <v>2138</v>
      </c>
      <c r="B2" s="57">
        <v>10039024</v>
      </c>
      <c r="C2" s="57">
        <v>436.73</v>
      </c>
      <c r="D2" s="57">
        <v>241.07496000000003</v>
      </c>
      <c r="E2" s="57">
        <v>109.1825</v>
      </c>
      <c r="F2" s="57">
        <v>86.473429951689027</v>
      </c>
    </row>
    <row r="3" spans="1:6" x14ac:dyDescent="0.25">
      <c r="A3" s="57">
        <v>2150</v>
      </c>
      <c r="B3" s="57">
        <v>5026738</v>
      </c>
      <c r="C3" s="57">
        <v>122.83</v>
      </c>
      <c r="D3" s="57">
        <v>67.802160000000001</v>
      </c>
      <c r="E3" s="57">
        <v>30.7075</v>
      </c>
      <c r="F3" s="57">
        <v>24.32</v>
      </c>
    </row>
    <row r="4" spans="1:6" x14ac:dyDescent="0.25">
      <c r="A4" s="57">
        <v>2127</v>
      </c>
      <c r="B4" s="57">
        <v>5026739</v>
      </c>
      <c r="C4" s="57">
        <v>119.6</v>
      </c>
      <c r="D4" s="57">
        <v>57.168799999999997</v>
      </c>
      <c r="E4" s="57">
        <v>29.9</v>
      </c>
      <c r="F4" s="57">
        <v>32.53</v>
      </c>
    </row>
    <row r="5" spans="1:6" x14ac:dyDescent="0.25">
      <c r="A5" s="58">
        <v>2138</v>
      </c>
      <c r="B5" s="58">
        <v>10039112</v>
      </c>
      <c r="C5" s="57">
        <v>436.73</v>
      </c>
      <c r="D5" s="57">
        <v>241.07496000000003</v>
      </c>
      <c r="E5" s="57">
        <v>109.1825</v>
      </c>
      <c r="F5" s="57">
        <v>86.473429951689027</v>
      </c>
    </row>
    <row r="6" spans="1:6" x14ac:dyDescent="0.25">
      <c r="A6" s="58">
        <v>2138</v>
      </c>
      <c r="B6" s="58">
        <v>10039114</v>
      </c>
      <c r="C6" s="57">
        <v>215.2</v>
      </c>
      <c r="D6" s="57">
        <v>118.79040000000001</v>
      </c>
      <c r="E6" s="57">
        <v>53.8</v>
      </c>
      <c r="F6" s="57">
        <v>42.60869565217449</v>
      </c>
    </row>
    <row r="7" spans="1:6" x14ac:dyDescent="0.25">
      <c r="A7" s="58">
        <v>2138</v>
      </c>
      <c r="B7" s="58">
        <v>10039115</v>
      </c>
      <c r="C7" s="57">
        <v>213.73</v>
      </c>
      <c r="D7" s="57">
        <v>117.97896</v>
      </c>
      <c r="E7" s="57">
        <v>53.432499999999997</v>
      </c>
      <c r="F7" s="57">
        <v>42.318840579710901</v>
      </c>
    </row>
    <row r="8" spans="1:6" x14ac:dyDescent="0.25">
      <c r="A8" s="58">
        <v>2146</v>
      </c>
      <c r="B8" s="58">
        <v>10039116</v>
      </c>
      <c r="C8" s="57">
        <v>106.87</v>
      </c>
      <c r="D8" s="57">
        <v>58.99224000000001</v>
      </c>
      <c r="E8" s="57">
        <v>26.717500000000001</v>
      </c>
      <c r="F8" s="57">
        <v>21.16</v>
      </c>
    </row>
    <row r="9" spans="1:6" x14ac:dyDescent="0.25">
      <c r="A9" s="58">
        <v>2150</v>
      </c>
      <c r="B9" s="58">
        <v>5026754</v>
      </c>
      <c r="C9" s="57">
        <v>122.83</v>
      </c>
      <c r="D9" s="57">
        <v>67.802160000000001</v>
      </c>
      <c r="E9" s="57">
        <v>30.7075</v>
      </c>
      <c r="F9" s="57">
        <v>24.32</v>
      </c>
    </row>
    <row r="10" spans="1:6" x14ac:dyDescent="0.25">
      <c r="A10" s="58">
        <v>2127</v>
      </c>
      <c r="B10" s="58">
        <v>5026755</v>
      </c>
      <c r="C10" s="57">
        <v>119.6</v>
      </c>
      <c r="D10" s="57">
        <v>57.168799999999997</v>
      </c>
      <c r="E10" s="57">
        <v>29.9</v>
      </c>
      <c r="F10" s="57">
        <v>32.53</v>
      </c>
    </row>
    <row r="11" spans="1:6" x14ac:dyDescent="0.25">
      <c r="A11" s="58">
        <v>2110</v>
      </c>
      <c r="B11" s="58">
        <v>5026756</v>
      </c>
      <c r="C11" s="57">
        <v>82.18</v>
      </c>
      <c r="D11" s="57">
        <v>47.335680000000004</v>
      </c>
      <c r="E11" s="57">
        <v>20.545000000000002</v>
      </c>
      <c r="F11" s="57">
        <v>14.299516908212528</v>
      </c>
    </row>
    <row r="12" spans="1:6" x14ac:dyDescent="0.25">
      <c r="A12" s="58">
        <v>2122</v>
      </c>
      <c r="B12" s="58">
        <v>5026757</v>
      </c>
      <c r="C12" s="57">
        <v>64.239999999999995</v>
      </c>
      <c r="D12" s="57">
        <v>35.460479999999997</v>
      </c>
      <c r="E12" s="57">
        <v>16.059999999999999</v>
      </c>
      <c r="F12" s="57">
        <v>12.72</v>
      </c>
    </row>
    <row r="13" spans="1:6" x14ac:dyDescent="0.25">
      <c r="A13" s="58">
        <v>2098</v>
      </c>
      <c r="B13" s="58">
        <v>10039118</v>
      </c>
      <c r="C13" s="57">
        <v>108.33</v>
      </c>
      <c r="D13" s="57">
        <v>59.798160000000003</v>
      </c>
      <c r="E13" s="57">
        <v>27.0825</v>
      </c>
      <c r="F13" s="57">
        <v>21.44927536231879</v>
      </c>
    </row>
    <row r="14" spans="1:6" x14ac:dyDescent="0.25">
      <c r="A14" s="58">
        <v>2102</v>
      </c>
      <c r="B14" s="58">
        <v>10039119</v>
      </c>
      <c r="C14" s="57">
        <v>105.28</v>
      </c>
      <c r="D14" s="57">
        <v>60.641279999999995</v>
      </c>
      <c r="E14" s="57">
        <v>26.32</v>
      </c>
      <c r="F14" s="57">
        <v>18.318840579710038</v>
      </c>
    </row>
    <row r="15" spans="1:6" x14ac:dyDescent="0.25">
      <c r="A15" s="58">
        <v>2106</v>
      </c>
      <c r="B15" s="58">
        <v>5026758</v>
      </c>
      <c r="C15" s="57">
        <v>149.32</v>
      </c>
      <c r="D15" s="57">
        <v>82.424639999999997</v>
      </c>
      <c r="E15" s="57">
        <v>37.33</v>
      </c>
      <c r="F15" s="57">
        <v>29.565217391304312</v>
      </c>
    </row>
    <row r="16" spans="1:6" x14ac:dyDescent="0.25">
      <c r="A16" s="58">
        <v>2100</v>
      </c>
      <c r="B16" s="58">
        <v>10039120</v>
      </c>
      <c r="C16" s="57">
        <v>205.4</v>
      </c>
      <c r="D16" s="57">
        <v>59.976799999999997</v>
      </c>
      <c r="E16" s="57">
        <v>51.35</v>
      </c>
      <c r="F16" s="57">
        <v>94.187499999999886</v>
      </c>
    </row>
    <row r="17" spans="1:6" x14ac:dyDescent="0.25">
      <c r="A17" s="58">
        <v>2110</v>
      </c>
      <c r="B17" s="58">
        <v>5026759</v>
      </c>
      <c r="C17" s="57">
        <v>109.33</v>
      </c>
      <c r="D17" s="57">
        <v>62.974079999999994</v>
      </c>
      <c r="E17" s="57">
        <v>27.3325</v>
      </c>
      <c r="F17" s="57">
        <v>19.024154589371584</v>
      </c>
    </row>
    <row r="18" spans="1:6" x14ac:dyDescent="0.25">
      <c r="A18" s="58">
        <v>2138</v>
      </c>
      <c r="B18" s="58">
        <v>10039121</v>
      </c>
      <c r="C18" s="57">
        <v>161.91</v>
      </c>
      <c r="D18" s="57">
        <v>89.374320000000012</v>
      </c>
      <c r="E18" s="57">
        <v>40.477499999999999</v>
      </c>
      <c r="F18" s="57">
        <v>32.057971014492566</v>
      </c>
    </row>
    <row r="19" spans="1:6" x14ac:dyDescent="0.25">
      <c r="A19" s="58">
        <v>2142</v>
      </c>
      <c r="B19" s="58">
        <v>5026760</v>
      </c>
      <c r="C19" s="57">
        <v>394.52</v>
      </c>
      <c r="D19" s="57">
        <v>217.77504000000002</v>
      </c>
      <c r="E19" s="57">
        <v>98.63</v>
      </c>
      <c r="F19" s="57">
        <v>78.115942028984207</v>
      </c>
    </row>
    <row r="20" spans="1:6" x14ac:dyDescent="0.25">
      <c r="A20" s="58">
        <v>2098</v>
      </c>
      <c r="B20" s="58">
        <v>10039122</v>
      </c>
      <c r="C20" s="57">
        <v>80.03</v>
      </c>
      <c r="D20" s="57">
        <v>44.176560000000002</v>
      </c>
      <c r="E20" s="57">
        <v>20.0075</v>
      </c>
      <c r="F20" s="57">
        <v>15.845410628019224</v>
      </c>
    </row>
    <row r="21" spans="1:6" x14ac:dyDescent="0.25">
      <c r="A21" s="58">
        <v>2102</v>
      </c>
      <c r="B21" s="58">
        <v>10039123</v>
      </c>
      <c r="C21" s="57">
        <v>195.12</v>
      </c>
      <c r="D21" s="57">
        <v>112.38911999999999</v>
      </c>
      <c r="E21" s="57">
        <v>48.78</v>
      </c>
      <c r="F21" s="57">
        <v>33.951690821256477</v>
      </c>
    </row>
    <row r="22" spans="1:6" x14ac:dyDescent="0.25">
      <c r="A22" s="58">
        <v>2110</v>
      </c>
      <c r="B22" s="58">
        <v>5026761</v>
      </c>
      <c r="C22" s="57">
        <v>188.85</v>
      </c>
      <c r="D22" s="57">
        <v>108.77759999999999</v>
      </c>
      <c r="E22" s="57">
        <v>47.212499999999999</v>
      </c>
      <c r="F22" s="57">
        <v>32.859903381641828</v>
      </c>
    </row>
    <row r="23" spans="1:6" x14ac:dyDescent="0.25">
      <c r="A23" s="58">
        <v>2099</v>
      </c>
      <c r="B23" s="58">
        <v>10039124</v>
      </c>
      <c r="C23" s="57">
        <v>226.8</v>
      </c>
      <c r="D23" s="57">
        <v>100.0188</v>
      </c>
      <c r="E23" s="57">
        <v>56.7</v>
      </c>
      <c r="F23" s="57">
        <v>70.269230769230902</v>
      </c>
    </row>
    <row r="24" spans="1:6" x14ac:dyDescent="0.25">
      <c r="A24" s="58">
        <v>2103</v>
      </c>
      <c r="B24" s="58">
        <v>10039125</v>
      </c>
      <c r="C24" s="57">
        <v>172.8</v>
      </c>
      <c r="D24" s="57">
        <v>82.598399999999998</v>
      </c>
      <c r="E24" s="57">
        <v>43.2</v>
      </c>
      <c r="F24" s="57">
        <v>46.846153846153932</v>
      </c>
    </row>
    <row r="25" spans="1:6" x14ac:dyDescent="0.25">
      <c r="A25" s="58">
        <v>2107</v>
      </c>
      <c r="B25" s="58">
        <v>5026762</v>
      </c>
      <c r="C25" s="57">
        <v>126</v>
      </c>
      <c r="D25" s="57">
        <v>55.566000000000003</v>
      </c>
      <c r="E25" s="57">
        <v>31.5</v>
      </c>
      <c r="F25" s="57">
        <v>39.038461538461611</v>
      </c>
    </row>
    <row r="26" spans="1:6" x14ac:dyDescent="0.25">
      <c r="A26" s="58">
        <v>2143</v>
      </c>
      <c r="B26" s="58">
        <v>5026763</v>
      </c>
      <c r="C26" s="57">
        <v>1008</v>
      </c>
      <c r="D26" s="57">
        <v>444.52800000000002</v>
      </c>
      <c r="E26" s="57">
        <v>252</v>
      </c>
      <c r="F26" s="57">
        <v>312.30769230769289</v>
      </c>
    </row>
    <row r="27" spans="1:6" x14ac:dyDescent="0.25">
      <c r="A27" s="58">
        <v>2101</v>
      </c>
      <c r="B27" s="58">
        <v>10039126</v>
      </c>
      <c r="C27" s="57">
        <v>700.41</v>
      </c>
      <c r="D27" s="57">
        <v>47.627880000000005</v>
      </c>
      <c r="E27" s="57">
        <v>175.10249999999999</v>
      </c>
      <c r="F27" s="57">
        <v>477.68115942029004</v>
      </c>
    </row>
    <row r="28" spans="1:6" x14ac:dyDescent="0.25">
      <c r="A28" s="58">
        <v>2105</v>
      </c>
      <c r="B28" s="58">
        <v>10039127</v>
      </c>
      <c r="C28" s="57">
        <v>759.69</v>
      </c>
      <c r="D28" s="57">
        <v>113.95350000000001</v>
      </c>
      <c r="E28" s="57">
        <v>189.92250000000001</v>
      </c>
      <c r="F28" s="57">
        <v>455.81642512077258</v>
      </c>
    </row>
    <row r="29" spans="1:6" x14ac:dyDescent="0.25">
      <c r="A29" s="58">
        <v>2109</v>
      </c>
      <c r="B29" s="58">
        <v>5026764</v>
      </c>
      <c r="C29" s="57">
        <v>887.19</v>
      </c>
      <c r="D29" s="57">
        <v>60.328920000000011</v>
      </c>
      <c r="E29" s="57">
        <v>221.79750000000001</v>
      </c>
      <c r="F29" s="57">
        <v>605.06280193236751</v>
      </c>
    </row>
    <row r="30" spans="1:6" x14ac:dyDescent="0.25">
      <c r="A30" s="59">
        <v>2146</v>
      </c>
      <c r="B30" s="59">
        <v>10039129</v>
      </c>
      <c r="C30" s="57">
        <v>300.91000000000003</v>
      </c>
      <c r="D30" s="57">
        <v>166.10232000000002</v>
      </c>
      <c r="E30" s="57">
        <v>75.227500000000006</v>
      </c>
      <c r="F30" s="57">
        <v>59.58</v>
      </c>
    </row>
    <row r="31" spans="1:6" x14ac:dyDescent="0.25">
      <c r="A31" s="59">
        <v>2146</v>
      </c>
      <c r="B31" s="59">
        <v>10039130</v>
      </c>
      <c r="C31" s="57">
        <v>91.72</v>
      </c>
      <c r="D31" s="57">
        <v>50.629440000000002</v>
      </c>
      <c r="E31" s="57">
        <v>22.93</v>
      </c>
      <c r="F31" s="57">
        <v>18.16</v>
      </c>
    </row>
    <row r="32" spans="1:6" x14ac:dyDescent="0.25">
      <c r="A32" s="59">
        <v>2139</v>
      </c>
      <c r="B32" s="59">
        <v>10039131</v>
      </c>
      <c r="C32" s="57">
        <v>252</v>
      </c>
      <c r="D32" s="57">
        <v>111.13200000000001</v>
      </c>
      <c r="E32" s="57">
        <v>63</v>
      </c>
      <c r="F32" s="57">
        <v>78.076923076923222</v>
      </c>
    </row>
    <row r="33" spans="1:6" x14ac:dyDescent="0.25">
      <c r="A33" s="59">
        <v>2146</v>
      </c>
      <c r="B33" s="59">
        <v>10039132</v>
      </c>
      <c r="C33" s="57">
        <v>691.31</v>
      </c>
      <c r="D33" s="57">
        <v>381.60311999999999</v>
      </c>
      <c r="E33" s="57">
        <v>172.82749999999999</v>
      </c>
      <c r="F33" s="57">
        <v>136.88</v>
      </c>
    </row>
    <row r="34" spans="1:6" x14ac:dyDescent="0.25">
      <c r="A34" s="59">
        <v>2146</v>
      </c>
      <c r="B34" s="59">
        <v>10039133</v>
      </c>
      <c r="C34" s="57">
        <v>306.20999999999998</v>
      </c>
      <c r="D34" s="57">
        <v>169.02791999999999</v>
      </c>
      <c r="E34" s="57">
        <v>76.552499999999995</v>
      </c>
      <c r="F34" s="57">
        <v>60.63</v>
      </c>
    </row>
    <row r="35" spans="1:6" x14ac:dyDescent="0.25">
      <c r="A35" s="59">
        <v>2111</v>
      </c>
      <c r="B35" s="59">
        <v>5026766</v>
      </c>
      <c r="C35" s="57">
        <v>216</v>
      </c>
      <c r="D35" s="57">
        <v>103.24799999999999</v>
      </c>
      <c r="E35" s="57">
        <v>54</v>
      </c>
      <c r="F35" s="57">
        <v>58.557692307692406</v>
      </c>
    </row>
    <row r="36" spans="1:6" x14ac:dyDescent="0.25">
      <c r="A36" s="59">
        <v>2150</v>
      </c>
      <c r="B36" s="59">
        <v>5026767</v>
      </c>
      <c r="C36" s="57">
        <v>138.28</v>
      </c>
      <c r="D36" s="57">
        <v>76.330560000000006</v>
      </c>
      <c r="E36" s="57">
        <v>34.57</v>
      </c>
      <c r="F36" s="57">
        <v>27.38</v>
      </c>
    </row>
    <row r="37" spans="1:6" x14ac:dyDescent="0.25">
      <c r="A37" s="59">
        <v>2118</v>
      </c>
      <c r="B37" s="59">
        <v>10039134</v>
      </c>
      <c r="C37" s="57">
        <v>113.85</v>
      </c>
      <c r="D37" s="57">
        <v>65.57759999999999</v>
      </c>
      <c r="E37" s="57">
        <v>28.462499999999999</v>
      </c>
      <c r="F37" s="57">
        <v>19.809999999999999</v>
      </c>
    </row>
    <row r="38" spans="1:6" x14ac:dyDescent="0.25">
      <c r="A38" s="59">
        <v>2126</v>
      </c>
      <c r="B38" s="59">
        <v>5026768</v>
      </c>
      <c r="C38" s="57">
        <v>102.01</v>
      </c>
      <c r="D38" s="57">
        <v>58.757759999999998</v>
      </c>
      <c r="E38" s="57">
        <v>25.502500000000001</v>
      </c>
      <c r="F38" s="57">
        <v>17.75</v>
      </c>
    </row>
    <row r="39" spans="1:6" x14ac:dyDescent="0.25">
      <c r="A39" s="59">
        <v>2114</v>
      </c>
      <c r="B39" s="59">
        <v>10039135</v>
      </c>
      <c r="C39" s="57">
        <v>89.65</v>
      </c>
      <c r="D39" s="57">
        <v>49.486800000000009</v>
      </c>
      <c r="E39" s="57">
        <v>22.412500000000001</v>
      </c>
      <c r="F39" s="57">
        <v>17.75</v>
      </c>
    </row>
    <row r="40" spans="1:6" x14ac:dyDescent="0.25">
      <c r="A40" s="59">
        <v>2102</v>
      </c>
      <c r="B40" s="59">
        <v>10039136</v>
      </c>
      <c r="C40" s="57">
        <v>192.4</v>
      </c>
      <c r="D40" s="57">
        <v>110.8224</v>
      </c>
      <c r="E40" s="57">
        <v>48.1</v>
      </c>
      <c r="F40" s="57">
        <v>33.478260869564657</v>
      </c>
    </row>
    <row r="41" spans="1:6" x14ac:dyDescent="0.25">
      <c r="A41" s="59">
        <v>2099</v>
      </c>
      <c r="B41" s="59">
        <v>10039137</v>
      </c>
      <c r="C41" s="57">
        <v>189</v>
      </c>
      <c r="D41" s="57">
        <v>83.349000000000004</v>
      </c>
      <c r="E41" s="57">
        <v>47.25</v>
      </c>
      <c r="F41" s="57">
        <v>58.557692307692406</v>
      </c>
    </row>
    <row r="42" spans="1:6" x14ac:dyDescent="0.25">
      <c r="A42" s="59">
        <v>2107</v>
      </c>
      <c r="B42" s="59">
        <v>5026769</v>
      </c>
      <c r="C42" s="57">
        <v>189</v>
      </c>
      <c r="D42" s="57">
        <v>83.349000000000004</v>
      </c>
      <c r="E42" s="57">
        <v>47.25</v>
      </c>
      <c r="F42" s="57">
        <v>58.557692307692406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Props1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2018-10-18T09:36:39Z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