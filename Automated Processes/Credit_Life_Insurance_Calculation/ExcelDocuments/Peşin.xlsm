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<sst xmlns="http://schemas.openxmlformats.org/spreadsheetml/2006/main" count="989" uniqueCount="134">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</sst>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59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7" t="s">
        <v>85</v>
      </c>
      <c r="B1" s="58"/>
      <c r="D1" s="57" t="s">
        <v>81</v>
      </c>
      <c r="E1" s="58"/>
    </row>
    <row r="2" spans="1:13" ht="15.75" thickBot="1" x14ac:dyDescent="0.3">
      <c r="A2" s="32" t="s">
        <v>12</v>
      </c>
      <c r="B2" s="43">
        <v>2127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32.53</v>
      </c>
      <c r="F3" s="11">
        <f>E3/12</f>
        <v>2.7108333333333334</v>
      </c>
    </row>
    <row r="4" spans="1:13" x14ac:dyDescent="0.25">
      <c r="A4" s="32" t="s">
        <v>34</v>
      </c>
      <c r="B4" s="44">
        <v>43389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119.6</v>
      </c>
      <c r="F4" s="11">
        <f>E4/12</f>
        <v>9.9666666666666668</v>
      </c>
      <c r="L4" s="47"/>
      <c r="M4" s="48"/>
    </row>
    <row r="5" spans="1:13" x14ac:dyDescent="0.25">
      <c r="A5" s="32" t="s">
        <v>35</v>
      </c>
      <c r="B5" s="44">
        <v>28973</v>
      </c>
      <c r="C5" s="6"/>
      <c r="D5" s="32" t="s">
        <v>107</v>
      </c>
      <c r="E5" s="11">
        <f>ROUND((E3/12)/(1-umo-gpo),2)</f>
        <v>9.9700000000000006</v>
      </c>
      <c r="F5" s="11">
        <f t="shared" ref="F5:F8" si="0">E5/12</f>
        <v>0.83083333333333342</v>
      </c>
      <c r="H5" s="6"/>
    </row>
    <row r="6" spans="1:13" x14ac:dyDescent="0.25">
      <c r="A6" s="32" t="s">
        <v>28</v>
      </c>
      <c r="B6" s="43">
        <v>10</v>
      </c>
      <c r="C6" s="6"/>
      <c r="D6" s="32" t="s">
        <v>38</v>
      </c>
      <c r="E6" s="11">
        <f>E4*umo</f>
        <v>29.9</v>
      </c>
      <c r="F6" s="11">
        <f t="shared" si="0"/>
        <v>2.4916666666666667</v>
      </c>
      <c r="H6" s="6"/>
    </row>
    <row r="7" spans="1:13" x14ac:dyDescent="0.25">
      <c r="A7" s="32" t="s">
        <v>29</v>
      </c>
      <c r="B7" s="45">
        <v>10000</v>
      </c>
      <c r="C7" s="6"/>
      <c r="D7" s="32" t="s">
        <v>39</v>
      </c>
      <c r="E7" s="11">
        <f>E4*gpo</f>
        <v>57.168799999999997</v>
      </c>
      <c r="F7" s="11">
        <f t="shared" si="0"/>
        <v>4.7640666666666664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358.01</v>
      </c>
      <c r="F8" s="11">
        <f t="shared" si="0"/>
        <v>29.834166666666665</v>
      </c>
      <c r="G8" s="9"/>
      <c r="H8" s="6"/>
    </row>
    <row r="9" spans="1:13" x14ac:dyDescent="0.25">
      <c r="A9" s="32" t="s">
        <v>33</v>
      </c>
      <c r="B9" s="34">
        <f>EDATE(B4,B6)</f>
        <v>43693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304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910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7" t="s">
        <v>80</v>
      </c>
      <c r="B17" s="58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0.47799999999999998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1016</v>
      </c>
    </row>
    <row r="28" spans="1:8" x14ac:dyDescent="0.25">
      <c r="A28" s="32" t="s">
        <v>87</v>
      </c>
      <c r="B28" s="33">
        <f>MONTH(doğum_tarihi)*100+DAY(doğum_tarihi)</f>
        <v>428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tabSelected="1" workbookViewId="0">
      <selection sqref="A1:XFD1048576"/>
    </sheetView>
  </sheetViews>
  <sheetFormatPr defaultColWidth="9.28515625" defaultRowHeight="15" x14ac:dyDescent="0.25"/>
  <cols>
    <col min="1" max="1" width="5" bestFit="1" customWidth="1"/>
    <col min="2" max="2" width="9" bestFit="1" customWidth="1"/>
    <col min="3" max="3" width="7" bestFit="1" customWidth="1"/>
    <col min="4" max="4" width="10.7109375" bestFit="1" customWidth="1"/>
    <col min="5" max="5" width="16.28515625" bestFit="1" customWidth="1"/>
    <col min="6" max="6" width="12" bestFit="1" customWidth="1"/>
  </cols>
  <sheetData>
    <row r="1" spans="1:6" x14ac:dyDescent="0.25">
      <c r="A1" t="s">
        <v>90</v>
      </c>
      <c r="B1" t="s">
        <v>91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2138</v>
      </c>
      <c r="B2">
        <v>10039024</v>
      </c>
      <c r="C2">
        <v>436.73</v>
      </c>
      <c r="D2">
        <v>241.07496000000003</v>
      </c>
      <c r="E2">
        <v>109.1825</v>
      </c>
      <c r="F2">
        <v>86.473429951689027</v>
      </c>
    </row>
    <row r="3" spans="1:6" x14ac:dyDescent="0.25">
      <c r="A3">
        <v>2150</v>
      </c>
      <c r="B3">
        <v>5026738</v>
      </c>
      <c r="C3">
        <v>122.83</v>
      </c>
      <c r="D3">
        <v>67.802160000000001</v>
      </c>
      <c r="E3">
        <v>30.7075</v>
      </c>
      <c r="F3">
        <v>24.32</v>
      </c>
    </row>
    <row r="4" spans="1:6" x14ac:dyDescent="0.25">
      <c r="A4">
        <v>2127</v>
      </c>
      <c r="B4">
        <v>5026739</v>
      </c>
      <c r="C4">
        <v>119.6</v>
      </c>
      <c r="D4">
        <v>57.168799999999997</v>
      </c>
      <c r="E4">
        <v>29.9</v>
      </c>
      <c r="F4">
        <v>32.53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3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Props1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2018-10-17T08:20:35Z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