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BIM2456\Users\BIM2456\Documents\Visual Studio 2017\Projects\AHE RPA\Automated Processes\Credit_Life_Insurance_Calculation\ExcelDocuments\"/>
    </mc:Choice>
  </mc:AlternateContent>
  <bookViews>
    <workbookView xWindow="0" yWindow="0" windowWidth="28800" windowHeight="12465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tarife_parametreleri!$A$2:$S$70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6" i="1" l="1"/>
  <c r="I85" i="1"/>
  <c r="I84" i="1"/>
  <c r="I83" i="1"/>
  <c r="I82" i="1"/>
  <c r="I81" i="1"/>
  <c r="I80" i="1"/>
  <c r="I79" i="1"/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<sst xmlns="http://schemas.openxmlformats.org/spreadsheetml/2006/main" count="989" uniqueCount="134">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</sst>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  <font>
      <sz val="10"/>
      <color rgb="FF002060"/>
      <name val="Verdana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60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21" fillId="0" borderId="0" xfId="0" applyFont="1" applyAlignment="1">
      <alignment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8" t="s">
        <v>85</v>
      </c>
      <c r="B1" s="59"/>
      <c r="D1" s="58" t="s">
        <v>81</v>
      </c>
      <c r="E1" s="59"/>
    </row>
    <row r="2" spans="1:13" ht="15.75" thickBot="1" x14ac:dyDescent="0.3">
      <c r="A2" s="32" t="s">
        <v>12</v>
      </c>
      <c r="B2" s="43">
        <v>1850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 t="e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#N/A</v>
      </c>
      <c r="F3" s="11" t="e">
        <f>E3/12</f>
        <v>#N/A</v>
      </c>
    </row>
    <row r="4" spans="1:13" x14ac:dyDescent="0.25">
      <c r="A4" s="32" t="s">
        <v>34</v>
      </c>
      <c r="B4" s="44">
        <v>43215</v>
      </c>
      <c r="C4" s="5"/>
      <c r="D4" s="32" t="s">
        <v>83</v>
      </c>
      <c r="E4" s="11" t="e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#N/A</v>
      </c>
      <c r="F4" s="11" t="e">
        <f>E4/12</f>
        <v>#N/A</v>
      </c>
      <c r="L4" s="47"/>
      <c r="M4" s="48"/>
    </row>
    <row r="5" spans="1:13" x14ac:dyDescent="0.25">
      <c r="A5" s="32" t="s">
        <v>35</v>
      </c>
      <c r="B5" s="44">
        <v>36380</v>
      </c>
      <c r="C5" s="6"/>
      <c r="D5" s="32" t="s">
        <v>107</v>
      </c>
      <c r="E5" s="11" t="e">
        <f>ROUND((E3/12)/(1-umo-gpo),2)</f>
        <v>#N/A</v>
      </c>
      <c r="F5" s="11" t="e">
        <f t="shared" ref="F5:F8" si="0">E5/12</f>
        <v>#N/A</v>
      </c>
      <c r="H5" s="6"/>
    </row>
    <row r="6" spans="1:13" x14ac:dyDescent="0.25">
      <c r="A6" s="32" t="s">
        <v>28</v>
      </c>
      <c r="B6" s="43">
        <v>12</v>
      </c>
      <c r="C6" s="6"/>
      <c r="D6" s="32" t="s">
        <v>38</v>
      </c>
      <c r="E6" s="11" t="e">
        <f>E4*umo</f>
        <v>#N/A</v>
      </c>
      <c r="F6" s="11" t="e">
        <f t="shared" si="0"/>
        <v>#N/A</v>
      </c>
      <c r="H6" s="6"/>
    </row>
    <row r="7" spans="1:13" x14ac:dyDescent="0.25">
      <c r="A7" s="32" t="s">
        <v>29</v>
      </c>
      <c r="B7" s="45">
        <v>100000</v>
      </c>
      <c r="C7" s="6"/>
      <c r="D7" s="32" t="s">
        <v>39</v>
      </c>
      <c r="E7" s="11" t="e">
        <f>E4*gpo</f>
        <v>#N/A</v>
      </c>
      <c r="F7" s="11" t="e">
        <f t="shared" si="0"/>
        <v>#N/A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 t="e">
        <f>ROUND(E4*B13/B12,2)</f>
        <v>#N/A</v>
      </c>
      <c r="F8" s="11" t="e">
        <f t="shared" si="0"/>
        <v>#N/A</v>
      </c>
      <c r="G8" s="9"/>
      <c r="H8" s="6"/>
    </row>
    <row r="9" spans="1:13" x14ac:dyDescent="0.25">
      <c r="A9" s="32" t="s">
        <v>33</v>
      </c>
      <c r="B9" s="34">
        <f>EDATE(B4,B6)</f>
        <v>43580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365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797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8" t="s">
        <v>80</v>
      </c>
      <c r="B17" s="59"/>
      <c r="D17" s="6"/>
      <c r="E17" s="6"/>
      <c r="F17" s="6"/>
      <c r="G17" s="6"/>
      <c r="H17" s="6"/>
    </row>
    <row r="18" spans="1:8" x14ac:dyDescent="0.25">
      <c r="A18" s="32" t="s">
        <v>31</v>
      </c>
      <c r="B18" t="e">
        <f>VLOOKUP(tarife_no,tarife_parametreleri,15,FALSE)</f>
        <v>#N/A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e">
        <f>VLOOKUP(tarife_no,tarife_parametreleri,10,FALSE)</f>
        <v>#N/A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 t="e">
        <f>VLOOKUP(tarife_no,tarife_parametreleri!A:Q,7,FALSE)</f>
        <v>#N/A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e">
        <f>VLOOKUP(tarife_no,tarife_parametreleri,5,FALSE)</f>
        <v>#N/A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e">
        <f>VLOOKUP(tarife_no,tarife_parametreleri,6,FALSE)</f>
        <v>#N/A</v>
      </c>
    </row>
    <row r="23" spans="1:8" x14ac:dyDescent="0.25">
      <c r="A23" s="32" t="s">
        <v>37</v>
      </c>
      <c r="B23" s="5" t="e">
        <f>IF(B18="serbest",B11,IF(B19="GERÇEK YAŞ",IF(B27&gt;B28,YEAR(B4)-YEAR(B5)+1,YEAR(B4)-YEAR(B5)),VLOOKUP(B2,tarife_parametreleri!1:1048576,MATCH(YEAR(police_baslangic_tarihi),tarife_parametreleri!$2:$2,0),FALSE)))</f>
        <v>#N/A</v>
      </c>
    </row>
    <row r="24" spans="1:8" x14ac:dyDescent="0.25">
      <c r="A24" s="32" t="s">
        <v>38</v>
      </c>
      <c r="B24" s="49" t="e">
        <f>VLOOKUP(tarife_no,tarife_parametreleri,8,FALSE)</f>
        <v>#N/A</v>
      </c>
    </row>
    <row r="25" spans="1:8" x14ac:dyDescent="0.25">
      <c r="A25" s="32" t="s">
        <v>39</v>
      </c>
      <c r="B25" s="49" t="e">
        <f>VLOOKUP(tarife_no,tarife_parametreleri,9,FALSE)</f>
        <v>#N/A</v>
      </c>
    </row>
    <row r="26" spans="1:8" x14ac:dyDescent="0.25">
      <c r="A26" s="40" t="s">
        <v>104</v>
      </c>
      <c r="B26" t="e">
        <f>VLOOKUP(tarife_no,tarife_parametreleri,16,FALSE)</f>
        <v>#N/A</v>
      </c>
    </row>
    <row r="27" spans="1:8" x14ac:dyDescent="0.25">
      <c r="A27" s="32" t="s">
        <v>86</v>
      </c>
      <c r="B27" s="33">
        <f>MONTH(police_baslangic_tarihi)*100+DAY(police_baslangic_tarihi)</f>
        <v>425</v>
      </c>
    </row>
    <row r="28" spans="1:8" x14ac:dyDescent="0.25">
      <c r="A28" s="32" t="s">
        <v>87</v>
      </c>
      <c r="B28" s="33">
        <f>MONTH(doğum_tarihi)*100+DAY(doğum_tarihi)</f>
        <v>808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activeCell="C2" sqref="C2:F5"/>
    </sheetView>
  </sheetViews>
  <sheetFormatPr defaultRowHeight="15" x14ac:dyDescent="0.25"/>
  <sheetData>
    <row r="1" spans="1:6" x14ac:dyDescent="0.25">
      <c r="A1" t="s">
        <v>90</v>
      </c>
      <c r="B1" t="s">
        <v>91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 s="57">
        <v>1191</v>
      </c>
      <c r="B2">
        <v>10038439</v>
      </c>
      <c r="C2">
        <v>-2146826246</v>
      </c>
      <c r="D2">
        <v>-2146826246</v>
      </c>
      <c r="E2">
        <v>-2146826246</v>
      </c>
      <c r="F2">
        <v>-2146826246</v>
      </c>
    </row>
    <row r="3" spans="1:6" x14ac:dyDescent="0.25">
      <c r="A3" s="57">
        <v>1850</v>
      </c>
      <c r="B3">
        <v>10038238</v>
      </c>
      <c r="C3">
        <v>-2146826246</v>
      </c>
      <c r="D3">
        <v>-2146826246</v>
      </c>
      <c r="E3">
        <v>-2146826246</v>
      </c>
      <c r="F3">
        <v>-2146826246</v>
      </c>
    </row>
    <row r="4" spans="1:6" x14ac:dyDescent="0.25">
      <c r="A4" s="57">
        <v>1191</v>
      </c>
      <c r="B4">
        <v>10038439</v>
      </c>
      <c r="C4">
        <v>-2146826246</v>
      </c>
      <c r="D4">
        <v>-2146826246</v>
      </c>
      <c r="E4">
        <v>-2146826246</v>
      </c>
      <c r="F4">
        <v>-2146826246</v>
      </c>
    </row>
    <row r="5" spans="1:6" x14ac:dyDescent="0.25">
      <c r="A5" s="57">
        <v>1850</v>
      </c>
      <c r="B5">
        <v>10038238</v>
      </c>
      <c r="C5">
        <v>-2146826246</v>
      </c>
      <c r="D5">
        <v>-2146826246</v>
      </c>
      <c r="E5">
        <v>-2146826246</v>
      </c>
      <c r="F5">
        <v>-2146826246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3" activePane="bottomLeft" state="frozen"/>
      <selection pane="bottomLeft" activeCell="A86" sqref="A86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f>ROUND(0.75-((0.75-I19)/(1+0.1)),3)</f>
        <v>0.59199999999999997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f t="shared" ref="I28:I34" si="0">ROUND(0.75-((0.75-I20)/(1+0.1)),3)</f>
        <v>0.503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f t="shared" si="0"/>
        <v>0.38400000000000001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f t="shared" si="0"/>
        <v>0.20499999999999999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f t="shared" si="0"/>
        <v>0.59199999999999997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f t="shared" si="0"/>
        <v>0.503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f t="shared" si="0"/>
        <v>0.38400000000000001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f t="shared" si="0"/>
        <v>0.20499999999999999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f>ROUND(0.75-((0.75-I19)/(1+0.25)),3)</f>
        <v>0.61099999999999999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f t="shared" ref="I36:I42" si="1">ROUND(0.75-((0.75-I20)/(1+0.25)),3)</f>
        <v>0.53200000000000003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f t="shared" si="1"/>
        <v>0.42799999999999999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f t="shared" si="1"/>
        <v>0.27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f t="shared" si="1"/>
        <v>0.61099999999999999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f t="shared" si="1"/>
        <v>0.53200000000000003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f t="shared" si="1"/>
        <v>0.42799999999999999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f t="shared" si="1"/>
        <v>0.27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0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0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0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2">
        <v>3.5000000000000003E-2</v>
      </c>
      <c r="H71" s="52">
        <v>0.25</v>
      </c>
      <c r="I71" s="52">
        <v>0.55200000000000005</v>
      </c>
      <c r="J71" s="50" t="s">
        <v>2</v>
      </c>
      <c r="K71" s="53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2">
        <v>0.04</v>
      </c>
      <c r="H72" s="52">
        <v>0.25</v>
      </c>
      <c r="I72" s="52">
        <v>0.441</v>
      </c>
      <c r="J72" s="50" t="s">
        <v>4</v>
      </c>
      <c r="K72" s="53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2">
        <v>0.04</v>
      </c>
      <c r="H73" s="52">
        <v>0.25</v>
      </c>
      <c r="I73" s="52">
        <v>0.29199999999999998</v>
      </c>
      <c r="J73" s="50" t="s">
        <v>4</v>
      </c>
      <c r="K73" s="53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2">
        <v>3.5000000000000003E-2</v>
      </c>
      <c r="H74" s="52">
        <v>0.25</v>
      </c>
      <c r="I74" s="52">
        <v>6.8000000000000005E-2</v>
      </c>
      <c r="J74" s="50" t="s">
        <v>2</v>
      </c>
      <c r="K74" s="53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2">
        <v>3.5000000000000003E-2</v>
      </c>
      <c r="H75" s="52">
        <v>0.25</v>
      </c>
      <c r="I75" s="52">
        <v>0.55200000000000005</v>
      </c>
      <c r="J75" s="50" t="s">
        <v>2</v>
      </c>
      <c r="K75" s="53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2">
        <v>0.04</v>
      </c>
      <c r="H76" s="52">
        <v>0.25</v>
      </c>
      <c r="I76" s="52">
        <v>0.441</v>
      </c>
      <c r="J76" s="50" t="s">
        <v>4</v>
      </c>
      <c r="K76" s="53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2">
        <v>0.04</v>
      </c>
      <c r="H77" s="52">
        <v>0.25</v>
      </c>
      <c r="I77" s="52">
        <v>0.29199999999999998</v>
      </c>
      <c r="J77" s="50" t="s">
        <v>4</v>
      </c>
      <c r="K77" s="53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2">
        <v>3.5000000000000003E-2</v>
      </c>
      <c r="H78" s="52">
        <v>0.25</v>
      </c>
      <c r="I78" s="52">
        <v>6.8000000000000005E-2</v>
      </c>
      <c r="J78" s="50" t="s">
        <v>2</v>
      </c>
      <c r="K78" s="53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2">
        <v>3.5000000000000003E-2</v>
      </c>
      <c r="H79" s="52">
        <v>0.25</v>
      </c>
      <c r="I79" s="52">
        <f>ROUND(0.75-((0.75-I71)/(1+0.1)),3)</f>
        <v>0.56999999999999995</v>
      </c>
      <c r="J79" s="50" t="s">
        <v>2</v>
      </c>
      <c r="K79" s="53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2">
        <v>0.04</v>
      </c>
      <c r="H80" s="52">
        <v>0.25</v>
      </c>
      <c r="I80" s="52">
        <f t="shared" ref="I80:I86" si="2">ROUND(0.75-((0.75-I72)/(1+0.1)),3)</f>
        <v>0.46899999999999997</v>
      </c>
      <c r="J80" s="50" t="s">
        <v>4</v>
      </c>
      <c r="K80" s="53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2">
        <v>0.04</v>
      </c>
      <c r="H81" s="52">
        <v>0.25</v>
      </c>
      <c r="I81" s="52">
        <f t="shared" si="2"/>
        <v>0.33400000000000002</v>
      </c>
      <c r="J81" s="50" t="s">
        <v>4</v>
      </c>
      <c r="K81" s="53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2">
        <v>3.5000000000000003E-2</v>
      </c>
      <c r="H82" s="52">
        <v>0.25</v>
      </c>
      <c r="I82" s="52">
        <f t="shared" si="2"/>
        <v>0.13</v>
      </c>
      <c r="J82" s="50" t="s">
        <v>2</v>
      </c>
      <c r="K82" s="53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2">
        <v>3.5000000000000003E-2</v>
      </c>
      <c r="H83" s="52">
        <v>0.25</v>
      </c>
      <c r="I83" s="52">
        <f t="shared" si="2"/>
        <v>0.56999999999999995</v>
      </c>
      <c r="J83" s="50" t="s">
        <v>2</v>
      </c>
      <c r="K83" s="53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2">
        <v>0.04</v>
      </c>
      <c r="H84" s="52">
        <v>0.25</v>
      </c>
      <c r="I84" s="52">
        <f t="shared" si="2"/>
        <v>0.46899999999999997</v>
      </c>
      <c r="J84" s="50" t="s">
        <v>4</v>
      </c>
      <c r="K84" s="53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2">
        <v>0.04</v>
      </c>
      <c r="H85" s="52">
        <v>0.25</v>
      </c>
      <c r="I85" s="52">
        <f t="shared" si="2"/>
        <v>0.33400000000000002</v>
      </c>
      <c r="J85" s="50" t="s">
        <v>4</v>
      </c>
      <c r="K85" s="53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2">
        <v>3.5000000000000003E-2</v>
      </c>
      <c r="H86" s="52">
        <v>0.25</v>
      </c>
      <c r="I86" s="52">
        <f t="shared" si="2"/>
        <v>0.13</v>
      </c>
      <c r="J86" s="50" t="s">
        <v>2</v>
      </c>
      <c r="K86" s="53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autoFilter ref="A2:S70"/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e">
        <f>CONCATENATE(mortalite_tablosu,IF(Hesap!B22="karma","KARMA",Hesap!B10))</f>
        <v>#N/A</v>
      </c>
      <c r="B3" s="18" t="e">
        <f>1+tfo</f>
        <v>#N/A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 t="e">
        <f>VLOOKUP(A6,'qx''ler'!$1:$1048576,MATCH(komutasyon_tablo!$A$3,'qx''ler'!$1:$1,0),FALSE)</f>
        <v>#N/A</v>
      </c>
      <c r="C6" s="21" t="e">
        <f t="shared" ref="C6:C69" si="0">1-B6</f>
        <v>#N/A</v>
      </c>
      <c r="D6" s="22">
        <v>10000000</v>
      </c>
      <c r="E6" s="22" t="e">
        <f t="shared" ref="E6:E69" si="1">D6*B6</f>
        <v>#N/A</v>
      </c>
      <c r="F6" s="23" t="e">
        <f>D6*(1/($B$3^A6))</f>
        <v>#N/A</v>
      </c>
      <c r="G6" s="23" t="e">
        <f>SUM(F6:F$127)</f>
        <v>#N/A</v>
      </c>
      <c r="H6" s="23" t="e">
        <f>SUM(G6:$G$127)</f>
        <v>#N/A</v>
      </c>
      <c r="I6" s="23" t="e">
        <f>E6*(1/($B$3^(A6+1)))</f>
        <v>#N/A</v>
      </c>
      <c r="J6" s="23" t="e">
        <f>SUM(I6:I$127)</f>
        <v>#N/A</v>
      </c>
      <c r="K6" s="23" t="e">
        <f>SUM(J6:J$127)</f>
        <v>#N/A</v>
      </c>
      <c r="L6" s="24" t="e">
        <f t="shared" ref="L6:L69" si="2">I6/F6</f>
        <v>#N/A</v>
      </c>
    </row>
    <row r="7" spans="1:12" x14ac:dyDescent="0.25">
      <c r="A7" s="20">
        <f t="shared" ref="A7:A70" si="3">A6+1</f>
        <v>1</v>
      </c>
      <c r="B7" s="21" t="e">
        <f>VLOOKUP(A7,'qx''ler'!$1:$1048576,MATCH(komutasyon_tablo!$A$3,'qx''ler'!$1:$1,0),FALSE)</f>
        <v>#N/A</v>
      </c>
      <c r="C7" s="21" t="e">
        <f t="shared" si="0"/>
        <v>#N/A</v>
      </c>
      <c r="D7" s="22" t="e">
        <f t="shared" ref="D7:D70" si="4">D6-E6</f>
        <v>#N/A</v>
      </c>
      <c r="E7" s="22" t="e">
        <f t="shared" si="1"/>
        <v>#N/A</v>
      </c>
      <c r="F7" s="23" t="e">
        <f t="shared" ref="F7:F70" si="5">D7*(1/($B$3^A7))</f>
        <v>#N/A</v>
      </c>
      <c r="G7" s="23" t="e">
        <f>SUM(F7:F$127)</f>
        <v>#N/A</v>
      </c>
      <c r="H7" s="23" t="e">
        <f>SUM(G7:$G$127)</f>
        <v>#N/A</v>
      </c>
      <c r="I7" s="23" t="e">
        <f t="shared" ref="I7:I70" si="6">E7*(1/($B$3^(A7+1)))</f>
        <v>#N/A</v>
      </c>
      <c r="J7" s="23" t="e">
        <f>SUM(I7:I$127)</f>
        <v>#N/A</v>
      </c>
      <c r="K7" s="23" t="e">
        <f>SUM(J7:J$127)</f>
        <v>#N/A</v>
      </c>
      <c r="L7" s="24" t="e">
        <f t="shared" si="2"/>
        <v>#N/A</v>
      </c>
    </row>
    <row r="8" spans="1:12" x14ac:dyDescent="0.25">
      <c r="A8" s="20">
        <f t="shared" si="3"/>
        <v>2</v>
      </c>
      <c r="B8" s="21" t="e">
        <f>VLOOKUP(A8,'qx''ler'!$1:$1048576,MATCH(komutasyon_tablo!$A$3,'qx''ler'!$1:$1,0),FALSE)</f>
        <v>#N/A</v>
      </c>
      <c r="C8" s="21" t="e">
        <f t="shared" si="0"/>
        <v>#N/A</v>
      </c>
      <c r="D8" s="22" t="e">
        <f t="shared" si="4"/>
        <v>#N/A</v>
      </c>
      <c r="E8" s="22" t="e">
        <f t="shared" si="1"/>
        <v>#N/A</v>
      </c>
      <c r="F8" s="23" t="e">
        <f t="shared" si="5"/>
        <v>#N/A</v>
      </c>
      <c r="G8" s="23" t="e">
        <f>SUM(F8:F$127)</f>
        <v>#N/A</v>
      </c>
      <c r="H8" s="23" t="e">
        <f>SUM(G8:$G$127)</f>
        <v>#N/A</v>
      </c>
      <c r="I8" s="23" t="e">
        <f t="shared" si="6"/>
        <v>#N/A</v>
      </c>
      <c r="J8" s="23" t="e">
        <f>SUM(I8:I$127)</f>
        <v>#N/A</v>
      </c>
      <c r="K8" s="23" t="e">
        <f>SUM(J8:J$127)</f>
        <v>#N/A</v>
      </c>
      <c r="L8" s="24" t="e">
        <f t="shared" si="2"/>
        <v>#N/A</v>
      </c>
    </row>
    <row r="9" spans="1:12" x14ac:dyDescent="0.25">
      <c r="A9" s="20">
        <f t="shared" si="3"/>
        <v>3</v>
      </c>
      <c r="B9" s="21" t="e">
        <f>VLOOKUP(A9,'qx''ler'!$1:$1048576,MATCH(komutasyon_tablo!$A$3,'qx''ler'!$1:$1,0),FALSE)</f>
        <v>#N/A</v>
      </c>
      <c r="C9" s="21" t="e">
        <f t="shared" si="0"/>
        <v>#N/A</v>
      </c>
      <c r="D9" s="22" t="e">
        <f t="shared" si="4"/>
        <v>#N/A</v>
      </c>
      <c r="E9" s="22" t="e">
        <f t="shared" si="1"/>
        <v>#N/A</v>
      </c>
      <c r="F9" s="23" t="e">
        <f t="shared" si="5"/>
        <v>#N/A</v>
      </c>
      <c r="G9" s="23" t="e">
        <f>SUM(F9:F$127)</f>
        <v>#N/A</v>
      </c>
      <c r="H9" s="23" t="e">
        <f>SUM(G9:$G$127)</f>
        <v>#N/A</v>
      </c>
      <c r="I9" s="23" t="e">
        <f t="shared" si="6"/>
        <v>#N/A</v>
      </c>
      <c r="J9" s="23" t="e">
        <f>SUM(I9:I$127)</f>
        <v>#N/A</v>
      </c>
      <c r="K9" s="23" t="e">
        <f>SUM(J9:J$127)</f>
        <v>#N/A</v>
      </c>
      <c r="L9" s="24" t="e">
        <f t="shared" si="2"/>
        <v>#N/A</v>
      </c>
    </row>
    <row r="10" spans="1:12" x14ac:dyDescent="0.25">
      <c r="A10" s="20">
        <f t="shared" si="3"/>
        <v>4</v>
      </c>
      <c r="B10" s="21" t="e">
        <f>VLOOKUP(A10,'qx''ler'!$1:$1048576,MATCH(komutasyon_tablo!$A$3,'qx''ler'!$1:$1,0),FALSE)</f>
        <v>#N/A</v>
      </c>
      <c r="C10" s="21" t="e">
        <f t="shared" si="0"/>
        <v>#N/A</v>
      </c>
      <c r="D10" s="22" t="e">
        <f t="shared" si="4"/>
        <v>#N/A</v>
      </c>
      <c r="E10" s="22" t="e">
        <f t="shared" si="1"/>
        <v>#N/A</v>
      </c>
      <c r="F10" s="23" t="e">
        <f t="shared" si="5"/>
        <v>#N/A</v>
      </c>
      <c r="G10" s="23" t="e">
        <f>SUM(F10:F$127)</f>
        <v>#N/A</v>
      </c>
      <c r="H10" s="23" t="e">
        <f>SUM(G10:$G$127)</f>
        <v>#N/A</v>
      </c>
      <c r="I10" s="23" t="e">
        <f t="shared" si="6"/>
        <v>#N/A</v>
      </c>
      <c r="J10" s="23" t="e">
        <f>SUM(I10:I$127)</f>
        <v>#N/A</v>
      </c>
      <c r="K10" s="23" t="e">
        <f>SUM(J10:J$127)</f>
        <v>#N/A</v>
      </c>
      <c r="L10" s="24" t="e">
        <f t="shared" si="2"/>
        <v>#N/A</v>
      </c>
    </row>
    <row r="11" spans="1:12" x14ac:dyDescent="0.25">
      <c r="A11" s="20">
        <f t="shared" si="3"/>
        <v>5</v>
      </c>
      <c r="B11" s="21" t="e">
        <f>VLOOKUP(A11,'qx''ler'!$1:$1048576,MATCH(komutasyon_tablo!$A$3,'qx''ler'!$1:$1,0),FALSE)</f>
        <v>#N/A</v>
      </c>
      <c r="C11" s="21" t="e">
        <f t="shared" si="0"/>
        <v>#N/A</v>
      </c>
      <c r="D11" s="22" t="e">
        <f t="shared" si="4"/>
        <v>#N/A</v>
      </c>
      <c r="E11" s="22" t="e">
        <f t="shared" si="1"/>
        <v>#N/A</v>
      </c>
      <c r="F11" s="23" t="e">
        <f t="shared" si="5"/>
        <v>#N/A</v>
      </c>
      <c r="G11" s="23" t="e">
        <f>SUM(F11:F$127)</f>
        <v>#N/A</v>
      </c>
      <c r="H11" s="23" t="e">
        <f>SUM(G11:$G$127)</f>
        <v>#N/A</v>
      </c>
      <c r="I11" s="23" t="e">
        <f t="shared" si="6"/>
        <v>#N/A</v>
      </c>
      <c r="J11" s="23" t="e">
        <f>SUM(I11:I$127)</f>
        <v>#N/A</v>
      </c>
      <c r="K11" s="23" t="e">
        <f>SUM(J11:J$127)</f>
        <v>#N/A</v>
      </c>
      <c r="L11" s="24" t="e">
        <f t="shared" si="2"/>
        <v>#N/A</v>
      </c>
    </row>
    <row r="12" spans="1:12" x14ac:dyDescent="0.25">
      <c r="A12" s="20">
        <f t="shared" si="3"/>
        <v>6</v>
      </c>
      <c r="B12" s="21" t="e">
        <f>VLOOKUP(A12,'qx''ler'!$1:$1048576,MATCH(komutasyon_tablo!$A$3,'qx''ler'!$1:$1,0),FALSE)</f>
        <v>#N/A</v>
      </c>
      <c r="C12" s="21" t="e">
        <f t="shared" si="0"/>
        <v>#N/A</v>
      </c>
      <c r="D12" s="22" t="e">
        <f t="shared" si="4"/>
        <v>#N/A</v>
      </c>
      <c r="E12" s="22" t="e">
        <f t="shared" si="1"/>
        <v>#N/A</v>
      </c>
      <c r="F12" s="23" t="e">
        <f t="shared" si="5"/>
        <v>#N/A</v>
      </c>
      <c r="G12" s="23" t="e">
        <f>SUM(F12:F$127)</f>
        <v>#N/A</v>
      </c>
      <c r="H12" s="23" t="e">
        <f>SUM(G12:$G$127)</f>
        <v>#N/A</v>
      </c>
      <c r="I12" s="23" t="e">
        <f t="shared" si="6"/>
        <v>#N/A</v>
      </c>
      <c r="J12" s="23" t="e">
        <f>SUM(I12:I$127)</f>
        <v>#N/A</v>
      </c>
      <c r="K12" s="23" t="e">
        <f>SUM(J12:J$127)</f>
        <v>#N/A</v>
      </c>
      <c r="L12" s="24" t="e">
        <f t="shared" si="2"/>
        <v>#N/A</v>
      </c>
    </row>
    <row r="13" spans="1:12" x14ac:dyDescent="0.25">
      <c r="A13" s="20">
        <f t="shared" si="3"/>
        <v>7</v>
      </c>
      <c r="B13" s="21" t="e">
        <f>VLOOKUP(A13,'qx''ler'!$1:$1048576,MATCH(komutasyon_tablo!$A$3,'qx''ler'!$1:$1,0),FALSE)</f>
        <v>#N/A</v>
      </c>
      <c r="C13" s="21" t="e">
        <f t="shared" si="0"/>
        <v>#N/A</v>
      </c>
      <c r="D13" s="22" t="e">
        <f t="shared" si="4"/>
        <v>#N/A</v>
      </c>
      <c r="E13" s="22" t="e">
        <f t="shared" si="1"/>
        <v>#N/A</v>
      </c>
      <c r="F13" s="23" t="e">
        <f t="shared" si="5"/>
        <v>#N/A</v>
      </c>
      <c r="G13" s="23" t="e">
        <f>SUM(F13:F$127)</f>
        <v>#N/A</v>
      </c>
      <c r="H13" s="23" t="e">
        <f>SUM(G13:$G$127)</f>
        <v>#N/A</v>
      </c>
      <c r="I13" s="23" t="e">
        <f t="shared" si="6"/>
        <v>#N/A</v>
      </c>
      <c r="J13" s="23" t="e">
        <f>SUM(I13:I$127)</f>
        <v>#N/A</v>
      </c>
      <c r="K13" s="23" t="e">
        <f>SUM(J13:J$127)</f>
        <v>#N/A</v>
      </c>
      <c r="L13" s="24" t="e">
        <f t="shared" si="2"/>
        <v>#N/A</v>
      </c>
    </row>
    <row r="14" spans="1:12" x14ac:dyDescent="0.25">
      <c r="A14" s="20">
        <f t="shared" si="3"/>
        <v>8</v>
      </c>
      <c r="B14" s="21" t="e">
        <f>VLOOKUP(A14,'qx''ler'!$1:$1048576,MATCH(komutasyon_tablo!$A$3,'qx''ler'!$1:$1,0),FALSE)</f>
        <v>#N/A</v>
      </c>
      <c r="C14" s="21" t="e">
        <f t="shared" si="0"/>
        <v>#N/A</v>
      </c>
      <c r="D14" s="22" t="e">
        <f t="shared" si="4"/>
        <v>#N/A</v>
      </c>
      <c r="E14" s="22" t="e">
        <f t="shared" si="1"/>
        <v>#N/A</v>
      </c>
      <c r="F14" s="23" t="e">
        <f t="shared" si="5"/>
        <v>#N/A</v>
      </c>
      <c r="G14" s="23" t="e">
        <f>SUM(F14:F$127)</f>
        <v>#N/A</v>
      </c>
      <c r="H14" s="23" t="e">
        <f>SUM(G14:$G$127)</f>
        <v>#N/A</v>
      </c>
      <c r="I14" s="23" t="e">
        <f t="shared" si="6"/>
        <v>#N/A</v>
      </c>
      <c r="J14" s="23" t="e">
        <f>SUM(I14:I$127)</f>
        <v>#N/A</v>
      </c>
      <c r="K14" s="23" t="e">
        <f>SUM(J14:J$127)</f>
        <v>#N/A</v>
      </c>
      <c r="L14" s="24" t="e">
        <f t="shared" si="2"/>
        <v>#N/A</v>
      </c>
    </row>
    <row r="15" spans="1:12" x14ac:dyDescent="0.25">
      <c r="A15" s="20">
        <f t="shared" si="3"/>
        <v>9</v>
      </c>
      <c r="B15" s="21" t="e">
        <f>VLOOKUP(A15,'qx''ler'!$1:$1048576,MATCH(komutasyon_tablo!$A$3,'qx''ler'!$1:$1,0),FALSE)</f>
        <v>#N/A</v>
      </c>
      <c r="C15" s="21" t="e">
        <f t="shared" si="0"/>
        <v>#N/A</v>
      </c>
      <c r="D15" s="22" t="e">
        <f t="shared" si="4"/>
        <v>#N/A</v>
      </c>
      <c r="E15" s="22" t="e">
        <f t="shared" si="1"/>
        <v>#N/A</v>
      </c>
      <c r="F15" s="23" t="e">
        <f t="shared" si="5"/>
        <v>#N/A</v>
      </c>
      <c r="G15" s="23" t="e">
        <f>SUM(F15:F$127)</f>
        <v>#N/A</v>
      </c>
      <c r="H15" s="23" t="e">
        <f>SUM(G15:$G$127)</f>
        <v>#N/A</v>
      </c>
      <c r="I15" s="23" t="e">
        <f t="shared" si="6"/>
        <v>#N/A</v>
      </c>
      <c r="J15" s="23" t="e">
        <f>SUM(I15:I$127)</f>
        <v>#N/A</v>
      </c>
      <c r="K15" s="23" t="e">
        <f>SUM(J15:J$127)</f>
        <v>#N/A</v>
      </c>
      <c r="L15" s="24" t="e">
        <f t="shared" si="2"/>
        <v>#N/A</v>
      </c>
    </row>
    <row r="16" spans="1:12" x14ac:dyDescent="0.25">
      <c r="A16" s="20">
        <f t="shared" si="3"/>
        <v>10</v>
      </c>
      <c r="B16" s="21" t="e">
        <f>VLOOKUP(A16,'qx''ler'!$1:$1048576,MATCH(komutasyon_tablo!$A$3,'qx''ler'!$1:$1,0),FALSE)</f>
        <v>#N/A</v>
      </c>
      <c r="C16" s="21" t="e">
        <f t="shared" si="0"/>
        <v>#N/A</v>
      </c>
      <c r="D16" s="22" t="e">
        <f t="shared" si="4"/>
        <v>#N/A</v>
      </c>
      <c r="E16" s="22" t="e">
        <f t="shared" si="1"/>
        <v>#N/A</v>
      </c>
      <c r="F16" s="23" t="e">
        <f t="shared" si="5"/>
        <v>#N/A</v>
      </c>
      <c r="G16" s="23" t="e">
        <f>SUM(F16:F$127)</f>
        <v>#N/A</v>
      </c>
      <c r="H16" s="23" t="e">
        <f>SUM(G16:$G$127)</f>
        <v>#N/A</v>
      </c>
      <c r="I16" s="23" t="e">
        <f t="shared" si="6"/>
        <v>#N/A</v>
      </c>
      <c r="J16" s="23" t="e">
        <f>SUM(I16:I$127)</f>
        <v>#N/A</v>
      </c>
      <c r="K16" s="23" t="e">
        <f>SUM(J16:J$127)</f>
        <v>#N/A</v>
      </c>
      <c r="L16" s="24" t="e">
        <f t="shared" si="2"/>
        <v>#N/A</v>
      </c>
    </row>
    <row r="17" spans="1:12" x14ac:dyDescent="0.25">
      <c r="A17" s="20">
        <f t="shared" si="3"/>
        <v>11</v>
      </c>
      <c r="B17" s="21" t="e">
        <f>VLOOKUP(A17,'qx''ler'!$1:$1048576,MATCH(komutasyon_tablo!$A$3,'qx''ler'!$1:$1,0),FALSE)</f>
        <v>#N/A</v>
      </c>
      <c r="C17" s="21" t="e">
        <f t="shared" si="0"/>
        <v>#N/A</v>
      </c>
      <c r="D17" s="22" t="e">
        <f t="shared" si="4"/>
        <v>#N/A</v>
      </c>
      <c r="E17" s="22" t="e">
        <f t="shared" si="1"/>
        <v>#N/A</v>
      </c>
      <c r="F17" s="23" t="e">
        <f t="shared" si="5"/>
        <v>#N/A</v>
      </c>
      <c r="G17" s="23" t="e">
        <f>SUM(F17:F$127)</f>
        <v>#N/A</v>
      </c>
      <c r="H17" s="23" t="e">
        <f>SUM(G17:$G$127)</f>
        <v>#N/A</v>
      </c>
      <c r="I17" s="23" t="e">
        <f t="shared" si="6"/>
        <v>#N/A</v>
      </c>
      <c r="J17" s="23" t="e">
        <f>SUM(I17:I$127)</f>
        <v>#N/A</v>
      </c>
      <c r="K17" s="23" t="e">
        <f>SUM(J17:J$127)</f>
        <v>#N/A</v>
      </c>
      <c r="L17" s="24" t="e">
        <f t="shared" si="2"/>
        <v>#N/A</v>
      </c>
    </row>
    <row r="18" spans="1:12" x14ac:dyDescent="0.25">
      <c r="A18" s="20">
        <f t="shared" si="3"/>
        <v>12</v>
      </c>
      <c r="B18" s="21" t="e">
        <f>VLOOKUP(A18,'qx''ler'!$1:$1048576,MATCH(komutasyon_tablo!$A$3,'qx''ler'!$1:$1,0),FALSE)</f>
        <v>#N/A</v>
      </c>
      <c r="C18" s="21" t="e">
        <f t="shared" si="0"/>
        <v>#N/A</v>
      </c>
      <c r="D18" s="22" t="e">
        <f t="shared" si="4"/>
        <v>#N/A</v>
      </c>
      <c r="E18" s="22" t="e">
        <f t="shared" si="1"/>
        <v>#N/A</v>
      </c>
      <c r="F18" s="23" t="e">
        <f t="shared" si="5"/>
        <v>#N/A</v>
      </c>
      <c r="G18" s="23" t="e">
        <f>SUM(F18:F$127)</f>
        <v>#N/A</v>
      </c>
      <c r="H18" s="23" t="e">
        <f>SUM(G18:$G$127)</f>
        <v>#N/A</v>
      </c>
      <c r="I18" s="23" t="e">
        <f t="shared" si="6"/>
        <v>#N/A</v>
      </c>
      <c r="J18" s="23" t="e">
        <f>SUM(I18:I$127)</f>
        <v>#N/A</v>
      </c>
      <c r="K18" s="23" t="e">
        <f>SUM(J18:J$127)</f>
        <v>#N/A</v>
      </c>
      <c r="L18" s="24" t="e">
        <f t="shared" si="2"/>
        <v>#N/A</v>
      </c>
    </row>
    <row r="19" spans="1:12" x14ac:dyDescent="0.25">
      <c r="A19" s="20">
        <f t="shared" si="3"/>
        <v>13</v>
      </c>
      <c r="B19" s="21" t="e">
        <f>VLOOKUP(A19,'qx''ler'!$1:$1048576,MATCH(komutasyon_tablo!$A$3,'qx''ler'!$1:$1,0),FALSE)</f>
        <v>#N/A</v>
      </c>
      <c r="C19" s="21" t="e">
        <f t="shared" si="0"/>
        <v>#N/A</v>
      </c>
      <c r="D19" s="22" t="e">
        <f t="shared" si="4"/>
        <v>#N/A</v>
      </c>
      <c r="E19" s="22" t="e">
        <f t="shared" si="1"/>
        <v>#N/A</v>
      </c>
      <c r="F19" s="23" t="e">
        <f t="shared" si="5"/>
        <v>#N/A</v>
      </c>
      <c r="G19" s="23" t="e">
        <f>SUM(F19:F$127)</f>
        <v>#N/A</v>
      </c>
      <c r="H19" s="23" t="e">
        <f>SUM(G19:$G$127)</f>
        <v>#N/A</v>
      </c>
      <c r="I19" s="23" t="e">
        <f t="shared" si="6"/>
        <v>#N/A</v>
      </c>
      <c r="J19" s="23" t="e">
        <f>SUM(I19:I$127)</f>
        <v>#N/A</v>
      </c>
      <c r="K19" s="23" t="e">
        <f>SUM(J19:J$127)</f>
        <v>#N/A</v>
      </c>
      <c r="L19" s="24" t="e">
        <f t="shared" si="2"/>
        <v>#N/A</v>
      </c>
    </row>
    <row r="20" spans="1:12" x14ac:dyDescent="0.25">
      <c r="A20" s="20">
        <f t="shared" si="3"/>
        <v>14</v>
      </c>
      <c r="B20" s="21" t="e">
        <f>VLOOKUP(A20,'qx''ler'!$1:$1048576,MATCH(komutasyon_tablo!$A$3,'qx''ler'!$1:$1,0),FALSE)</f>
        <v>#N/A</v>
      </c>
      <c r="C20" s="21" t="e">
        <f t="shared" si="0"/>
        <v>#N/A</v>
      </c>
      <c r="D20" s="22" t="e">
        <f t="shared" si="4"/>
        <v>#N/A</v>
      </c>
      <c r="E20" s="22" t="e">
        <f t="shared" si="1"/>
        <v>#N/A</v>
      </c>
      <c r="F20" s="23" t="e">
        <f t="shared" si="5"/>
        <v>#N/A</v>
      </c>
      <c r="G20" s="23" t="e">
        <f>SUM(F20:F$127)</f>
        <v>#N/A</v>
      </c>
      <c r="H20" s="23" t="e">
        <f>SUM(G20:$G$127)</f>
        <v>#N/A</v>
      </c>
      <c r="I20" s="23" t="e">
        <f t="shared" si="6"/>
        <v>#N/A</v>
      </c>
      <c r="J20" s="23" t="e">
        <f>SUM(I20:I$127)</f>
        <v>#N/A</v>
      </c>
      <c r="K20" s="23" t="e">
        <f>SUM(J20:J$127)</f>
        <v>#N/A</v>
      </c>
      <c r="L20" s="24" t="e">
        <f t="shared" si="2"/>
        <v>#N/A</v>
      </c>
    </row>
    <row r="21" spans="1:12" x14ac:dyDescent="0.25">
      <c r="A21" s="20">
        <f t="shared" si="3"/>
        <v>15</v>
      </c>
      <c r="B21" s="21" t="e">
        <f>VLOOKUP(A21,'qx''ler'!$1:$1048576,MATCH(komutasyon_tablo!$A$3,'qx''ler'!$1:$1,0),FALSE)</f>
        <v>#N/A</v>
      </c>
      <c r="C21" s="21" t="e">
        <f t="shared" si="0"/>
        <v>#N/A</v>
      </c>
      <c r="D21" s="22" t="e">
        <f t="shared" si="4"/>
        <v>#N/A</v>
      </c>
      <c r="E21" s="22" t="e">
        <f t="shared" si="1"/>
        <v>#N/A</v>
      </c>
      <c r="F21" s="23" t="e">
        <f t="shared" si="5"/>
        <v>#N/A</v>
      </c>
      <c r="G21" s="23" t="e">
        <f>SUM(F21:F$127)</f>
        <v>#N/A</v>
      </c>
      <c r="H21" s="23" t="e">
        <f>SUM(G21:$G$127)</f>
        <v>#N/A</v>
      </c>
      <c r="I21" s="23" t="e">
        <f t="shared" si="6"/>
        <v>#N/A</v>
      </c>
      <c r="J21" s="23" t="e">
        <f>SUM(I21:I$127)</f>
        <v>#N/A</v>
      </c>
      <c r="K21" s="23" t="e">
        <f>SUM(J21:J$127)</f>
        <v>#N/A</v>
      </c>
      <c r="L21" s="24" t="e">
        <f t="shared" si="2"/>
        <v>#N/A</v>
      </c>
    </row>
    <row r="22" spans="1:12" x14ac:dyDescent="0.25">
      <c r="A22" s="20">
        <f t="shared" si="3"/>
        <v>16</v>
      </c>
      <c r="B22" s="21" t="e">
        <f>VLOOKUP(A22,'qx''ler'!$1:$1048576,MATCH(komutasyon_tablo!$A$3,'qx''ler'!$1:$1,0),FALSE)</f>
        <v>#N/A</v>
      </c>
      <c r="C22" s="21" t="e">
        <f t="shared" si="0"/>
        <v>#N/A</v>
      </c>
      <c r="D22" s="22" t="e">
        <f t="shared" si="4"/>
        <v>#N/A</v>
      </c>
      <c r="E22" s="22" t="e">
        <f t="shared" si="1"/>
        <v>#N/A</v>
      </c>
      <c r="F22" s="23" t="e">
        <f t="shared" si="5"/>
        <v>#N/A</v>
      </c>
      <c r="G22" s="23" t="e">
        <f>SUM(F22:F$127)</f>
        <v>#N/A</v>
      </c>
      <c r="H22" s="23" t="e">
        <f>SUM(G22:$G$127)</f>
        <v>#N/A</v>
      </c>
      <c r="I22" s="23" t="e">
        <f t="shared" si="6"/>
        <v>#N/A</v>
      </c>
      <c r="J22" s="23" t="e">
        <f>SUM(I22:I$127)</f>
        <v>#N/A</v>
      </c>
      <c r="K22" s="23" t="e">
        <f>SUM(J22:J$127)</f>
        <v>#N/A</v>
      </c>
      <c r="L22" s="24" t="e">
        <f t="shared" si="2"/>
        <v>#N/A</v>
      </c>
    </row>
    <row r="23" spans="1:12" x14ac:dyDescent="0.25">
      <c r="A23" s="20">
        <f t="shared" si="3"/>
        <v>17</v>
      </c>
      <c r="B23" s="21" t="e">
        <f>VLOOKUP(A23,'qx''ler'!$1:$1048576,MATCH(komutasyon_tablo!$A$3,'qx''ler'!$1:$1,0),FALSE)</f>
        <v>#N/A</v>
      </c>
      <c r="C23" s="21" t="e">
        <f t="shared" si="0"/>
        <v>#N/A</v>
      </c>
      <c r="D23" s="22" t="e">
        <f t="shared" si="4"/>
        <v>#N/A</v>
      </c>
      <c r="E23" s="22" t="e">
        <f t="shared" si="1"/>
        <v>#N/A</v>
      </c>
      <c r="F23" s="23" t="e">
        <f t="shared" si="5"/>
        <v>#N/A</v>
      </c>
      <c r="G23" s="23" t="e">
        <f>SUM(F23:F$127)</f>
        <v>#N/A</v>
      </c>
      <c r="H23" s="23" t="e">
        <f>SUM(G23:$G$127)</f>
        <v>#N/A</v>
      </c>
      <c r="I23" s="23" t="e">
        <f t="shared" si="6"/>
        <v>#N/A</v>
      </c>
      <c r="J23" s="23" t="e">
        <f>SUM(I23:I$127)</f>
        <v>#N/A</v>
      </c>
      <c r="K23" s="23" t="e">
        <f>SUM(J23:J$127)</f>
        <v>#N/A</v>
      </c>
      <c r="L23" s="24" t="e">
        <f t="shared" si="2"/>
        <v>#N/A</v>
      </c>
    </row>
    <row r="24" spans="1:12" x14ac:dyDescent="0.25">
      <c r="A24" s="20">
        <f t="shared" si="3"/>
        <v>18</v>
      </c>
      <c r="B24" s="21" t="e">
        <f>VLOOKUP(A24,'qx''ler'!$1:$1048576,MATCH(komutasyon_tablo!$A$3,'qx''ler'!$1:$1,0),FALSE)</f>
        <v>#N/A</v>
      </c>
      <c r="C24" s="21" t="e">
        <f t="shared" si="0"/>
        <v>#N/A</v>
      </c>
      <c r="D24" s="22" t="e">
        <f t="shared" si="4"/>
        <v>#N/A</v>
      </c>
      <c r="E24" s="22" t="e">
        <f t="shared" si="1"/>
        <v>#N/A</v>
      </c>
      <c r="F24" s="23" t="e">
        <f t="shared" si="5"/>
        <v>#N/A</v>
      </c>
      <c r="G24" s="23" t="e">
        <f>SUM(F24:F$127)</f>
        <v>#N/A</v>
      </c>
      <c r="H24" s="23" t="e">
        <f>SUM(G24:$G$127)</f>
        <v>#N/A</v>
      </c>
      <c r="I24" s="23" t="e">
        <f t="shared" si="6"/>
        <v>#N/A</v>
      </c>
      <c r="J24" s="23" t="e">
        <f>SUM(I24:I$127)</f>
        <v>#N/A</v>
      </c>
      <c r="K24" s="23" t="e">
        <f>SUM(J24:J$127)</f>
        <v>#N/A</v>
      </c>
      <c r="L24" s="24" t="e">
        <f t="shared" si="2"/>
        <v>#N/A</v>
      </c>
    </row>
    <row r="25" spans="1:12" x14ac:dyDescent="0.25">
      <c r="A25" s="20">
        <f t="shared" si="3"/>
        <v>19</v>
      </c>
      <c r="B25" s="21" t="e">
        <f>VLOOKUP(A25,'qx''ler'!$1:$1048576,MATCH(komutasyon_tablo!$A$3,'qx''ler'!$1:$1,0),FALSE)</f>
        <v>#N/A</v>
      </c>
      <c r="C25" s="21" t="e">
        <f t="shared" si="0"/>
        <v>#N/A</v>
      </c>
      <c r="D25" s="22" t="e">
        <f t="shared" si="4"/>
        <v>#N/A</v>
      </c>
      <c r="E25" s="22" t="e">
        <f t="shared" si="1"/>
        <v>#N/A</v>
      </c>
      <c r="F25" s="23" t="e">
        <f t="shared" si="5"/>
        <v>#N/A</v>
      </c>
      <c r="G25" s="23" t="e">
        <f>SUM(F25:F$127)</f>
        <v>#N/A</v>
      </c>
      <c r="H25" s="23" t="e">
        <f>SUM(G25:$G$127)</f>
        <v>#N/A</v>
      </c>
      <c r="I25" s="23" t="e">
        <f t="shared" si="6"/>
        <v>#N/A</v>
      </c>
      <c r="J25" s="23" t="e">
        <f>SUM(I25:I$127)</f>
        <v>#N/A</v>
      </c>
      <c r="K25" s="23" t="e">
        <f>SUM(J25:J$127)</f>
        <v>#N/A</v>
      </c>
      <c r="L25" s="24" t="e">
        <f t="shared" si="2"/>
        <v>#N/A</v>
      </c>
    </row>
    <row r="26" spans="1:12" x14ac:dyDescent="0.25">
      <c r="A26" s="20">
        <f t="shared" si="3"/>
        <v>20</v>
      </c>
      <c r="B26" s="21" t="e">
        <f>VLOOKUP(A26,'qx''ler'!$1:$1048576,MATCH(komutasyon_tablo!$A$3,'qx''ler'!$1:$1,0),FALSE)</f>
        <v>#N/A</v>
      </c>
      <c r="C26" s="21" t="e">
        <f t="shared" si="0"/>
        <v>#N/A</v>
      </c>
      <c r="D26" s="22" t="e">
        <f t="shared" si="4"/>
        <v>#N/A</v>
      </c>
      <c r="E26" s="22" t="e">
        <f t="shared" si="1"/>
        <v>#N/A</v>
      </c>
      <c r="F26" s="23" t="e">
        <f t="shared" si="5"/>
        <v>#N/A</v>
      </c>
      <c r="G26" s="23" t="e">
        <f>SUM(F26:F$127)</f>
        <v>#N/A</v>
      </c>
      <c r="H26" s="23" t="e">
        <f>SUM(G26:$G$127)</f>
        <v>#N/A</v>
      </c>
      <c r="I26" s="23" t="e">
        <f t="shared" si="6"/>
        <v>#N/A</v>
      </c>
      <c r="J26" s="23" t="e">
        <f>SUM(I26:I$127)</f>
        <v>#N/A</v>
      </c>
      <c r="K26" s="23" t="e">
        <f>SUM(J26:J$127)</f>
        <v>#N/A</v>
      </c>
      <c r="L26" s="24" t="e">
        <f t="shared" si="2"/>
        <v>#N/A</v>
      </c>
    </row>
    <row r="27" spans="1:12" x14ac:dyDescent="0.25">
      <c r="A27" s="20">
        <f t="shared" si="3"/>
        <v>21</v>
      </c>
      <c r="B27" s="21" t="e">
        <f>VLOOKUP(A27,'qx''ler'!$1:$1048576,MATCH(komutasyon_tablo!$A$3,'qx''ler'!$1:$1,0),FALSE)</f>
        <v>#N/A</v>
      </c>
      <c r="C27" s="21" t="e">
        <f t="shared" si="0"/>
        <v>#N/A</v>
      </c>
      <c r="D27" s="22" t="e">
        <f t="shared" si="4"/>
        <v>#N/A</v>
      </c>
      <c r="E27" s="22" t="e">
        <f t="shared" si="1"/>
        <v>#N/A</v>
      </c>
      <c r="F27" s="23" t="e">
        <f t="shared" si="5"/>
        <v>#N/A</v>
      </c>
      <c r="G27" s="23" t="e">
        <f>SUM(F27:F$127)</f>
        <v>#N/A</v>
      </c>
      <c r="H27" s="23" t="e">
        <f>SUM(G27:$G$127)</f>
        <v>#N/A</v>
      </c>
      <c r="I27" s="23" t="e">
        <f t="shared" si="6"/>
        <v>#N/A</v>
      </c>
      <c r="J27" s="23" t="e">
        <f>SUM(I27:I$127)</f>
        <v>#N/A</v>
      </c>
      <c r="K27" s="23" t="e">
        <f>SUM(J27:J$127)</f>
        <v>#N/A</v>
      </c>
      <c r="L27" s="24" t="e">
        <f t="shared" si="2"/>
        <v>#N/A</v>
      </c>
    </row>
    <row r="28" spans="1:12" x14ac:dyDescent="0.25">
      <c r="A28" s="20">
        <f t="shared" si="3"/>
        <v>22</v>
      </c>
      <c r="B28" s="21" t="e">
        <f>VLOOKUP(A28,'qx''ler'!$1:$1048576,MATCH(komutasyon_tablo!$A$3,'qx''ler'!$1:$1,0),FALSE)</f>
        <v>#N/A</v>
      </c>
      <c r="C28" s="21" t="e">
        <f t="shared" si="0"/>
        <v>#N/A</v>
      </c>
      <c r="D28" s="22" t="e">
        <f t="shared" si="4"/>
        <v>#N/A</v>
      </c>
      <c r="E28" s="22" t="e">
        <f t="shared" si="1"/>
        <v>#N/A</v>
      </c>
      <c r="F28" s="23" t="e">
        <f t="shared" si="5"/>
        <v>#N/A</v>
      </c>
      <c r="G28" s="23" t="e">
        <f>SUM(F28:F$127)</f>
        <v>#N/A</v>
      </c>
      <c r="H28" s="23" t="e">
        <f>SUM(G28:$G$127)</f>
        <v>#N/A</v>
      </c>
      <c r="I28" s="23" t="e">
        <f t="shared" si="6"/>
        <v>#N/A</v>
      </c>
      <c r="J28" s="23" t="e">
        <f>SUM(I28:I$127)</f>
        <v>#N/A</v>
      </c>
      <c r="K28" s="23" t="e">
        <f>SUM(J28:J$127)</f>
        <v>#N/A</v>
      </c>
      <c r="L28" s="24" t="e">
        <f t="shared" si="2"/>
        <v>#N/A</v>
      </c>
    </row>
    <row r="29" spans="1:12" x14ac:dyDescent="0.25">
      <c r="A29" s="20">
        <f t="shared" si="3"/>
        <v>23</v>
      </c>
      <c r="B29" s="21" t="e">
        <f>VLOOKUP(A29,'qx''ler'!$1:$1048576,MATCH(komutasyon_tablo!$A$3,'qx''ler'!$1:$1,0),FALSE)</f>
        <v>#N/A</v>
      </c>
      <c r="C29" s="21" t="e">
        <f t="shared" si="0"/>
        <v>#N/A</v>
      </c>
      <c r="D29" s="22" t="e">
        <f t="shared" si="4"/>
        <v>#N/A</v>
      </c>
      <c r="E29" s="22" t="e">
        <f t="shared" si="1"/>
        <v>#N/A</v>
      </c>
      <c r="F29" s="23" t="e">
        <f t="shared" si="5"/>
        <v>#N/A</v>
      </c>
      <c r="G29" s="23" t="e">
        <f>SUM(F29:F$127)</f>
        <v>#N/A</v>
      </c>
      <c r="H29" s="23" t="e">
        <f>SUM(G29:$G$127)</f>
        <v>#N/A</v>
      </c>
      <c r="I29" s="23" t="e">
        <f t="shared" si="6"/>
        <v>#N/A</v>
      </c>
      <c r="J29" s="23" t="e">
        <f>SUM(I29:I$127)</f>
        <v>#N/A</v>
      </c>
      <c r="K29" s="23" t="e">
        <f>SUM(J29:J$127)</f>
        <v>#N/A</v>
      </c>
      <c r="L29" s="24" t="e">
        <f t="shared" si="2"/>
        <v>#N/A</v>
      </c>
    </row>
    <row r="30" spans="1:12" x14ac:dyDescent="0.25">
      <c r="A30" s="20">
        <f t="shared" si="3"/>
        <v>24</v>
      </c>
      <c r="B30" s="21" t="e">
        <f>VLOOKUP(A30,'qx''ler'!$1:$1048576,MATCH(komutasyon_tablo!$A$3,'qx''ler'!$1:$1,0),FALSE)</f>
        <v>#N/A</v>
      </c>
      <c r="C30" s="21" t="e">
        <f t="shared" si="0"/>
        <v>#N/A</v>
      </c>
      <c r="D30" s="22" t="e">
        <f t="shared" si="4"/>
        <v>#N/A</v>
      </c>
      <c r="E30" s="22" t="e">
        <f t="shared" si="1"/>
        <v>#N/A</v>
      </c>
      <c r="F30" s="23" t="e">
        <f t="shared" si="5"/>
        <v>#N/A</v>
      </c>
      <c r="G30" s="23" t="e">
        <f>SUM(F30:F$127)</f>
        <v>#N/A</v>
      </c>
      <c r="H30" s="23" t="e">
        <f>SUM(G30:$G$127)</f>
        <v>#N/A</v>
      </c>
      <c r="I30" s="23" t="e">
        <f t="shared" si="6"/>
        <v>#N/A</v>
      </c>
      <c r="J30" s="23" t="e">
        <f>SUM(I30:I$127)</f>
        <v>#N/A</v>
      </c>
      <c r="K30" s="23" t="e">
        <f>SUM(J30:J$127)</f>
        <v>#N/A</v>
      </c>
      <c r="L30" s="24" t="e">
        <f t="shared" si="2"/>
        <v>#N/A</v>
      </c>
    </row>
    <row r="31" spans="1:12" x14ac:dyDescent="0.25">
      <c r="A31" s="20">
        <f t="shared" si="3"/>
        <v>25</v>
      </c>
      <c r="B31" s="21" t="e">
        <f>VLOOKUP(A31,'qx''ler'!$1:$1048576,MATCH(komutasyon_tablo!$A$3,'qx''ler'!$1:$1,0),FALSE)</f>
        <v>#N/A</v>
      </c>
      <c r="C31" s="21" t="e">
        <f t="shared" si="0"/>
        <v>#N/A</v>
      </c>
      <c r="D31" s="22" t="e">
        <f t="shared" si="4"/>
        <v>#N/A</v>
      </c>
      <c r="E31" s="22" t="e">
        <f t="shared" si="1"/>
        <v>#N/A</v>
      </c>
      <c r="F31" s="23" t="e">
        <f t="shared" si="5"/>
        <v>#N/A</v>
      </c>
      <c r="G31" s="23" t="e">
        <f>SUM(F31:F$127)</f>
        <v>#N/A</v>
      </c>
      <c r="H31" s="23" t="e">
        <f>SUM(G31:$G$127)</f>
        <v>#N/A</v>
      </c>
      <c r="I31" s="23" t="e">
        <f t="shared" si="6"/>
        <v>#N/A</v>
      </c>
      <c r="J31" s="23" t="e">
        <f>SUM(I31:I$127)</f>
        <v>#N/A</v>
      </c>
      <c r="K31" s="23" t="e">
        <f>SUM(J31:J$127)</f>
        <v>#N/A</v>
      </c>
      <c r="L31" s="24" t="e">
        <f t="shared" si="2"/>
        <v>#N/A</v>
      </c>
    </row>
    <row r="32" spans="1:12" x14ac:dyDescent="0.25">
      <c r="A32" s="20">
        <f t="shared" si="3"/>
        <v>26</v>
      </c>
      <c r="B32" s="21" t="e">
        <f>VLOOKUP(A32,'qx''ler'!$1:$1048576,MATCH(komutasyon_tablo!$A$3,'qx''ler'!$1:$1,0),FALSE)</f>
        <v>#N/A</v>
      </c>
      <c r="C32" s="21" t="e">
        <f t="shared" si="0"/>
        <v>#N/A</v>
      </c>
      <c r="D32" s="22" t="e">
        <f t="shared" si="4"/>
        <v>#N/A</v>
      </c>
      <c r="E32" s="22" t="e">
        <f t="shared" si="1"/>
        <v>#N/A</v>
      </c>
      <c r="F32" s="23" t="e">
        <f t="shared" si="5"/>
        <v>#N/A</v>
      </c>
      <c r="G32" s="23" t="e">
        <f>SUM(F32:F$127)</f>
        <v>#N/A</v>
      </c>
      <c r="H32" s="23" t="e">
        <f>SUM(G32:$G$127)</f>
        <v>#N/A</v>
      </c>
      <c r="I32" s="23" t="e">
        <f t="shared" si="6"/>
        <v>#N/A</v>
      </c>
      <c r="J32" s="23" t="e">
        <f>SUM(I32:I$127)</f>
        <v>#N/A</v>
      </c>
      <c r="K32" s="23" t="e">
        <f>SUM(J32:J$127)</f>
        <v>#N/A</v>
      </c>
      <c r="L32" s="24" t="e">
        <f t="shared" si="2"/>
        <v>#N/A</v>
      </c>
    </row>
    <row r="33" spans="1:12" x14ac:dyDescent="0.25">
      <c r="A33" s="20">
        <f t="shared" si="3"/>
        <v>27</v>
      </c>
      <c r="B33" s="21" t="e">
        <f>VLOOKUP(A33,'qx''ler'!$1:$1048576,MATCH(komutasyon_tablo!$A$3,'qx''ler'!$1:$1,0),FALSE)</f>
        <v>#N/A</v>
      </c>
      <c r="C33" s="21" t="e">
        <f t="shared" si="0"/>
        <v>#N/A</v>
      </c>
      <c r="D33" s="22" t="e">
        <f t="shared" si="4"/>
        <v>#N/A</v>
      </c>
      <c r="E33" s="22" t="e">
        <f t="shared" si="1"/>
        <v>#N/A</v>
      </c>
      <c r="F33" s="23" t="e">
        <f t="shared" si="5"/>
        <v>#N/A</v>
      </c>
      <c r="G33" s="23" t="e">
        <f>SUM(F33:F$127)</f>
        <v>#N/A</v>
      </c>
      <c r="H33" s="23" t="e">
        <f>SUM(G33:$G$127)</f>
        <v>#N/A</v>
      </c>
      <c r="I33" s="23" t="e">
        <f t="shared" si="6"/>
        <v>#N/A</v>
      </c>
      <c r="J33" s="23" t="e">
        <f>SUM(I33:I$127)</f>
        <v>#N/A</v>
      </c>
      <c r="K33" s="23" t="e">
        <f>SUM(J33:J$127)</f>
        <v>#N/A</v>
      </c>
      <c r="L33" s="24" t="e">
        <f t="shared" si="2"/>
        <v>#N/A</v>
      </c>
    </row>
    <row r="34" spans="1:12" x14ac:dyDescent="0.25">
      <c r="A34" s="20">
        <f t="shared" si="3"/>
        <v>28</v>
      </c>
      <c r="B34" s="21" t="e">
        <f>VLOOKUP(A34,'qx''ler'!$1:$1048576,MATCH(komutasyon_tablo!$A$3,'qx''ler'!$1:$1,0),FALSE)</f>
        <v>#N/A</v>
      </c>
      <c r="C34" s="21" t="e">
        <f t="shared" si="0"/>
        <v>#N/A</v>
      </c>
      <c r="D34" s="22" t="e">
        <f t="shared" si="4"/>
        <v>#N/A</v>
      </c>
      <c r="E34" s="22" t="e">
        <f t="shared" si="1"/>
        <v>#N/A</v>
      </c>
      <c r="F34" s="23" t="e">
        <f t="shared" si="5"/>
        <v>#N/A</v>
      </c>
      <c r="G34" s="23" t="e">
        <f>SUM(F34:F$127)</f>
        <v>#N/A</v>
      </c>
      <c r="H34" s="23" t="e">
        <f>SUM(G34:$G$127)</f>
        <v>#N/A</v>
      </c>
      <c r="I34" s="23" t="e">
        <f t="shared" si="6"/>
        <v>#N/A</v>
      </c>
      <c r="J34" s="23" t="e">
        <f>SUM(I34:I$127)</f>
        <v>#N/A</v>
      </c>
      <c r="K34" s="23" t="e">
        <f>SUM(J34:J$127)</f>
        <v>#N/A</v>
      </c>
      <c r="L34" s="24" t="e">
        <f t="shared" si="2"/>
        <v>#N/A</v>
      </c>
    </row>
    <row r="35" spans="1:12" x14ac:dyDescent="0.25">
      <c r="A35" s="20">
        <f t="shared" si="3"/>
        <v>29</v>
      </c>
      <c r="B35" s="21" t="e">
        <f>VLOOKUP(A35,'qx''ler'!$1:$1048576,MATCH(komutasyon_tablo!$A$3,'qx''ler'!$1:$1,0),FALSE)</f>
        <v>#N/A</v>
      </c>
      <c r="C35" s="21" t="e">
        <f t="shared" si="0"/>
        <v>#N/A</v>
      </c>
      <c r="D35" s="22" t="e">
        <f t="shared" si="4"/>
        <v>#N/A</v>
      </c>
      <c r="E35" s="22" t="e">
        <f t="shared" si="1"/>
        <v>#N/A</v>
      </c>
      <c r="F35" s="23" t="e">
        <f t="shared" si="5"/>
        <v>#N/A</v>
      </c>
      <c r="G35" s="23" t="e">
        <f>SUM(F35:F$127)</f>
        <v>#N/A</v>
      </c>
      <c r="H35" s="23" t="e">
        <f>SUM(G35:$G$127)</f>
        <v>#N/A</v>
      </c>
      <c r="I35" s="23" t="e">
        <f t="shared" si="6"/>
        <v>#N/A</v>
      </c>
      <c r="J35" s="23" t="e">
        <f>SUM(I35:I$127)</f>
        <v>#N/A</v>
      </c>
      <c r="K35" s="23" t="e">
        <f>SUM(J35:J$127)</f>
        <v>#N/A</v>
      </c>
      <c r="L35" s="24" t="e">
        <f t="shared" si="2"/>
        <v>#N/A</v>
      </c>
    </row>
    <row r="36" spans="1:12" x14ac:dyDescent="0.25">
      <c r="A36" s="20">
        <f t="shared" si="3"/>
        <v>30</v>
      </c>
      <c r="B36" s="21" t="e">
        <f>VLOOKUP(A36,'qx''ler'!$1:$1048576,MATCH(komutasyon_tablo!$A$3,'qx''ler'!$1:$1,0),FALSE)</f>
        <v>#N/A</v>
      </c>
      <c r="C36" s="21" t="e">
        <f t="shared" si="0"/>
        <v>#N/A</v>
      </c>
      <c r="D36" s="22" t="e">
        <f t="shared" si="4"/>
        <v>#N/A</v>
      </c>
      <c r="E36" s="22" t="e">
        <f t="shared" si="1"/>
        <v>#N/A</v>
      </c>
      <c r="F36" s="23" t="e">
        <f t="shared" si="5"/>
        <v>#N/A</v>
      </c>
      <c r="G36" s="23" t="e">
        <f>SUM(F36:F$127)</f>
        <v>#N/A</v>
      </c>
      <c r="H36" s="23" t="e">
        <f>SUM(G36:$G$127)</f>
        <v>#N/A</v>
      </c>
      <c r="I36" s="23" t="e">
        <f t="shared" si="6"/>
        <v>#N/A</v>
      </c>
      <c r="J36" s="23" t="e">
        <f>SUM(I36:I$127)</f>
        <v>#N/A</v>
      </c>
      <c r="K36" s="23" t="e">
        <f>SUM(J36:J$127)</f>
        <v>#N/A</v>
      </c>
      <c r="L36" s="24" t="e">
        <f t="shared" si="2"/>
        <v>#N/A</v>
      </c>
    </row>
    <row r="37" spans="1:12" x14ac:dyDescent="0.25">
      <c r="A37" s="20">
        <f t="shared" si="3"/>
        <v>31</v>
      </c>
      <c r="B37" s="21" t="e">
        <f>VLOOKUP(A37,'qx''ler'!$1:$1048576,MATCH(komutasyon_tablo!$A$3,'qx''ler'!$1:$1,0),FALSE)</f>
        <v>#N/A</v>
      </c>
      <c r="C37" s="21" t="e">
        <f t="shared" si="0"/>
        <v>#N/A</v>
      </c>
      <c r="D37" s="22" t="e">
        <f t="shared" si="4"/>
        <v>#N/A</v>
      </c>
      <c r="E37" s="22" t="e">
        <f t="shared" si="1"/>
        <v>#N/A</v>
      </c>
      <c r="F37" s="23" t="e">
        <f t="shared" si="5"/>
        <v>#N/A</v>
      </c>
      <c r="G37" s="23" t="e">
        <f>SUM(F37:F$127)</f>
        <v>#N/A</v>
      </c>
      <c r="H37" s="23" t="e">
        <f>SUM(G37:$G$127)</f>
        <v>#N/A</v>
      </c>
      <c r="I37" s="23" t="e">
        <f t="shared" si="6"/>
        <v>#N/A</v>
      </c>
      <c r="J37" s="23" t="e">
        <f>SUM(I37:I$127)</f>
        <v>#N/A</v>
      </c>
      <c r="K37" s="23" t="e">
        <f>SUM(J37:J$127)</f>
        <v>#N/A</v>
      </c>
      <c r="L37" s="24" t="e">
        <f t="shared" si="2"/>
        <v>#N/A</v>
      </c>
    </row>
    <row r="38" spans="1:12" x14ac:dyDescent="0.25">
      <c r="A38" s="20">
        <f t="shared" si="3"/>
        <v>32</v>
      </c>
      <c r="B38" s="21" t="e">
        <f>VLOOKUP(A38,'qx''ler'!$1:$1048576,MATCH(komutasyon_tablo!$A$3,'qx''ler'!$1:$1,0),FALSE)</f>
        <v>#N/A</v>
      </c>
      <c r="C38" s="21" t="e">
        <f t="shared" si="0"/>
        <v>#N/A</v>
      </c>
      <c r="D38" s="22" t="e">
        <f t="shared" si="4"/>
        <v>#N/A</v>
      </c>
      <c r="E38" s="22" t="e">
        <f t="shared" si="1"/>
        <v>#N/A</v>
      </c>
      <c r="F38" s="23" t="e">
        <f t="shared" si="5"/>
        <v>#N/A</v>
      </c>
      <c r="G38" s="23" t="e">
        <f>SUM(F38:F$127)</f>
        <v>#N/A</v>
      </c>
      <c r="H38" s="23" t="e">
        <f>SUM(G38:$G$127)</f>
        <v>#N/A</v>
      </c>
      <c r="I38" s="23" t="e">
        <f t="shared" si="6"/>
        <v>#N/A</v>
      </c>
      <c r="J38" s="23" t="e">
        <f>SUM(I38:I$127)</f>
        <v>#N/A</v>
      </c>
      <c r="K38" s="23" t="e">
        <f>SUM(J38:J$127)</f>
        <v>#N/A</v>
      </c>
      <c r="L38" s="24" t="e">
        <f t="shared" si="2"/>
        <v>#N/A</v>
      </c>
    </row>
    <row r="39" spans="1:12" x14ac:dyDescent="0.25">
      <c r="A39" s="20">
        <f t="shared" si="3"/>
        <v>33</v>
      </c>
      <c r="B39" s="21" t="e">
        <f>VLOOKUP(A39,'qx''ler'!$1:$1048576,MATCH(komutasyon_tablo!$A$3,'qx''ler'!$1:$1,0),FALSE)</f>
        <v>#N/A</v>
      </c>
      <c r="C39" s="21" t="e">
        <f t="shared" si="0"/>
        <v>#N/A</v>
      </c>
      <c r="D39" s="22" t="e">
        <f t="shared" si="4"/>
        <v>#N/A</v>
      </c>
      <c r="E39" s="22" t="e">
        <f t="shared" si="1"/>
        <v>#N/A</v>
      </c>
      <c r="F39" s="23" t="e">
        <f t="shared" si="5"/>
        <v>#N/A</v>
      </c>
      <c r="G39" s="23" t="e">
        <f>SUM(F39:F$127)</f>
        <v>#N/A</v>
      </c>
      <c r="H39" s="23" t="e">
        <f>SUM(G39:$G$127)</f>
        <v>#N/A</v>
      </c>
      <c r="I39" s="23" t="e">
        <f t="shared" si="6"/>
        <v>#N/A</v>
      </c>
      <c r="J39" s="23" t="e">
        <f>SUM(I39:I$127)</f>
        <v>#N/A</v>
      </c>
      <c r="K39" s="23" t="e">
        <f>SUM(J39:J$127)</f>
        <v>#N/A</v>
      </c>
      <c r="L39" s="24" t="e">
        <f t="shared" si="2"/>
        <v>#N/A</v>
      </c>
    </row>
    <row r="40" spans="1:12" x14ac:dyDescent="0.25">
      <c r="A40" s="20">
        <f t="shared" si="3"/>
        <v>34</v>
      </c>
      <c r="B40" s="21" t="e">
        <f>VLOOKUP(A40,'qx''ler'!$1:$1048576,MATCH(komutasyon_tablo!$A$3,'qx''ler'!$1:$1,0),FALSE)</f>
        <v>#N/A</v>
      </c>
      <c r="C40" s="21" t="e">
        <f t="shared" si="0"/>
        <v>#N/A</v>
      </c>
      <c r="D40" s="22" t="e">
        <f t="shared" si="4"/>
        <v>#N/A</v>
      </c>
      <c r="E40" s="22" t="e">
        <f t="shared" si="1"/>
        <v>#N/A</v>
      </c>
      <c r="F40" s="23" t="e">
        <f t="shared" si="5"/>
        <v>#N/A</v>
      </c>
      <c r="G40" s="23" t="e">
        <f>SUM(F40:F$127)</f>
        <v>#N/A</v>
      </c>
      <c r="H40" s="23" t="e">
        <f>SUM(G40:$G$127)</f>
        <v>#N/A</v>
      </c>
      <c r="I40" s="23" t="e">
        <f t="shared" si="6"/>
        <v>#N/A</v>
      </c>
      <c r="J40" s="23" t="e">
        <f>SUM(I40:I$127)</f>
        <v>#N/A</v>
      </c>
      <c r="K40" s="23" t="e">
        <f>SUM(J40:J$127)</f>
        <v>#N/A</v>
      </c>
      <c r="L40" s="24" t="e">
        <f t="shared" si="2"/>
        <v>#N/A</v>
      </c>
    </row>
    <row r="41" spans="1:12" x14ac:dyDescent="0.25">
      <c r="A41" s="20">
        <f t="shared" si="3"/>
        <v>35</v>
      </c>
      <c r="B41" s="21" t="e">
        <f>VLOOKUP(A41,'qx''ler'!$1:$1048576,MATCH(komutasyon_tablo!$A$3,'qx''ler'!$1:$1,0),FALSE)</f>
        <v>#N/A</v>
      </c>
      <c r="C41" s="21" t="e">
        <f t="shared" si="0"/>
        <v>#N/A</v>
      </c>
      <c r="D41" s="22" t="e">
        <f t="shared" si="4"/>
        <v>#N/A</v>
      </c>
      <c r="E41" s="22" t="e">
        <f t="shared" si="1"/>
        <v>#N/A</v>
      </c>
      <c r="F41" s="23" t="e">
        <f t="shared" si="5"/>
        <v>#N/A</v>
      </c>
      <c r="G41" s="23" t="e">
        <f>SUM(F41:F$127)</f>
        <v>#N/A</v>
      </c>
      <c r="H41" s="23" t="e">
        <f>SUM(G41:$G$127)</f>
        <v>#N/A</v>
      </c>
      <c r="I41" s="23" t="e">
        <f t="shared" si="6"/>
        <v>#N/A</v>
      </c>
      <c r="J41" s="23" t="e">
        <f>SUM(I41:I$127)</f>
        <v>#N/A</v>
      </c>
      <c r="K41" s="23" t="e">
        <f>SUM(J41:J$127)</f>
        <v>#N/A</v>
      </c>
      <c r="L41" s="24" t="e">
        <f t="shared" si="2"/>
        <v>#N/A</v>
      </c>
    </row>
    <row r="42" spans="1:12" x14ac:dyDescent="0.25">
      <c r="A42" s="20">
        <f t="shared" si="3"/>
        <v>36</v>
      </c>
      <c r="B42" s="21" t="e">
        <f>VLOOKUP(A42,'qx''ler'!$1:$1048576,MATCH(komutasyon_tablo!$A$3,'qx''ler'!$1:$1,0),FALSE)</f>
        <v>#N/A</v>
      </c>
      <c r="C42" s="21" t="e">
        <f t="shared" si="0"/>
        <v>#N/A</v>
      </c>
      <c r="D42" s="22" t="e">
        <f t="shared" si="4"/>
        <v>#N/A</v>
      </c>
      <c r="E42" s="22" t="e">
        <f t="shared" si="1"/>
        <v>#N/A</v>
      </c>
      <c r="F42" s="23" t="e">
        <f t="shared" si="5"/>
        <v>#N/A</v>
      </c>
      <c r="G42" s="23" t="e">
        <f>SUM(F42:F$127)</f>
        <v>#N/A</v>
      </c>
      <c r="H42" s="23" t="e">
        <f>SUM(G42:$G$127)</f>
        <v>#N/A</v>
      </c>
      <c r="I42" s="23" t="e">
        <f t="shared" si="6"/>
        <v>#N/A</v>
      </c>
      <c r="J42" s="23" t="e">
        <f>SUM(I42:I$127)</f>
        <v>#N/A</v>
      </c>
      <c r="K42" s="23" t="e">
        <f>SUM(J42:J$127)</f>
        <v>#N/A</v>
      </c>
      <c r="L42" s="24" t="e">
        <f t="shared" si="2"/>
        <v>#N/A</v>
      </c>
    </row>
    <row r="43" spans="1:12" x14ac:dyDescent="0.25">
      <c r="A43" s="20">
        <f t="shared" si="3"/>
        <v>37</v>
      </c>
      <c r="B43" s="21" t="e">
        <f>VLOOKUP(A43,'qx''ler'!$1:$1048576,MATCH(komutasyon_tablo!$A$3,'qx''ler'!$1:$1,0),FALSE)</f>
        <v>#N/A</v>
      </c>
      <c r="C43" s="21" t="e">
        <f t="shared" si="0"/>
        <v>#N/A</v>
      </c>
      <c r="D43" s="22" t="e">
        <f t="shared" si="4"/>
        <v>#N/A</v>
      </c>
      <c r="E43" s="22" t="e">
        <f t="shared" si="1"/>
        <v>#N/A</v>
      </c>
      <c r="F43" s="23" t="e">
        <f t="shared" si="5"/>
        <v>#N/A</v>
      </c>
      <c r="G43" s="23" t="e">
        <f>SUM(F43:F$127)</f>
        <v>#N/A</v>
      </c>
      <c r="H43" s="23" t="e">
        <f>SUM(G43:$G$127)</f>
        <v>#N/A</v>
      </c>
      <c r="I43" s="23" t="e">
        <f t="shared" si="6"/>
        <v>#N/A</v>
      </c>
      <c r="J43" s="23" t="e">
        <f>SUM(I43:I$127)</f>
        <v>#N/A</v>
      </c>
      <c r="K43" s="23" t="e">
        <f>SUM(J43:J$127)</f>
        <v>#N/A</v>
      </c>
      <c r="L43" s="24" t="e">
        <f t="shared" si="2"/>
        <v>#N/A</v>
      </c>
    </row>
    <row r="44" spans="1:12" x14ac:dyDescent="0.25">
      <c r="A44" s="20">
        <f t="shared" si="3"/>
        <v>38</v>
      </c>
      <c r="B44" s="21" t="e">
        <f>VLOOKUP(A44,'qx''ler'!$1:$1048576,MATCH(komutasyon_tablo!$A$3,'qx''ler'!$1:$1,0),FALSE)</f>
        <v>#N/A</v>
      </c>
      <c r="C44" s="21" t="e">
        <f t="shared" si="0"/>
        <v>#N/A</v>
      </c>
      <c r="D44" s="22" t="e">
        <f t="shared" si="4"/>
        <v>#N/A</v>
      </c>
      <c r="E44" s="22" t="e">
        <f t="shared" si="1"/>
        <v>#N/A</v>
      </c>
      <c r="F44" s="23" t="e">
        <f t="shared" si="5"/>
        <v>#N/A</v>
      </c>
      <c r="G44" s="23" t="e">
        <f>SUM(F44:F$127)</f>
        <v>#N/A</v>
      </c>
      <c r="H44" s="23" t="e">
        <f>SUM(G44:$G$127)</f>
        <v>#N/A</v>
      </c>
      <c r="I44" s="23" t="e">
        <f t="shared" si="6"/>
        <v>#N/A</v>
      </c>
      <c r="J44" s="23" t="e">
        <f>SUM(I44:I$127)</f>
        <v>#N/A</v>
      </c>
      <c r="K44" s="23" t="e">
        <f>SUM(J44:J$127)</f>
        <v>#N/A</v>
      </c>
      <c r="L44" s="24" t="e">
        <f t="shared" si="2"/>
        <v>#N/A</v>
      </c>
    </row>
    <row r="45" spans="1:12" x14ac:dyDescent="0.25">
      <c r="A45" s="20">
        <f t="shared" si="3"/>
        <v>39</v>
      </c>
      <c r="B45" s="21" t="e">
        <f>VLOOKUP(A45,'qx''ler'!$1:$1048576,MATCH(komutasyon_tablo!$A$3,'qx''ler'!$1:$1,0),FALSE)</f>
        <v>#N/A</v>
      </c>
      <c r="C45" s="21" t="e">
        <f t="shared" si="0"/>
        <v>#N/A</v>
      </c>
      <c r="D45" s="22" t="e">
        <f t="shared" si="4"/>
        <v>#N/A</v>
      </c>
      <c r="E45" s="22" t="e">
        <f t="shared" si="1"/>
        <v>#N/A</v>
      </c>
      <c r="F45" s="23" t="e">
        <f t="shared" si="5"/>
        <v>#N/A</v>
      </c>
      <c r="G45" s="23" t="e">
        <f>SUM(F45:F$127)</f>
        <v>#N/A</v>
      </c>
      <c r="H45" s="23" t="e">
        <f>SUM(G45:$G$127)</f>
        <v>#N/A</v>
      </c>
      <c r="I45" s="23" t="e">
        <f t="shared" si="6"/>
        <v>#N/A</v>
      </c>
      <c r="J45" s="23" t="e">
        <f>SUM(I45:I$127)</f>
        <v>#N/A</v>
      </c>
      <c r="K45" s="23" t="e">
        <f>SUM(J45:J$127)</f>
        <v>#N/A</v>
      </c>
      <c r="L45" s="24" t="e">
        <f t="shared" si="2"/>
        <v>#N/A</v>
      </c>
    </row>
    <row r="46" spans="1:12" x14ac:dyDescent="0.25">
      <c r="A46" s="20">
        <f t="shared" si="3"/>
        <v>40</v>
      </c>
      <c r="B46" s="21" t="e">
        <f>VLOOKUP(A46,'qx''ler'!$1:$1048576,MATCH(komutasyon_tablo!$A$3,'qx''ler'!$1:$1,0),FALSE)</f>
        <v>#N/A</v>
      </c>
      <c r="C46" s="21" t="e">
        <f t="shared" si="0"/>
        <v>#N/A</v>
      </c>
      <c r="D46" s="22" t="e">
        <f t="shared" si="4"/>
        <v>#N/A</v>
      </c>
      <c r="E46" s="22" t="e">
        <f t="shared" si="1"/>
        <v>#N/A</v>
      </c>
      <c r="F46" s="23" t="e">
        <f t="shared" si="5"/>
        <v>#N/A</v>
      </c>
      <c r="G46" s="23" t="e">
        <f>SUM(F46:F$127)</f>
        <v>#N/A</v>
      </c>
      <c r="H46" s="23" t="e">
        <f>SUM(G46:$G$127)</f>
        <v>#N/A</v>
      </c>
      <c r="I46" s="23" t="e">
        <f t="shared" si="6"/>
        <v>#N/A</v>
      </c>
      <c r="J46" s="23" t="e">
        <f>SUM(I46:I$127)</f>
        <v>#N/A</v>
      </c>
      <c r="K46" s="23" t="e">
        <f>SUM(J46:J$127)</f>
        <v>#N/A</v>
      </c>
      <c r="L46" s="24" t="e">
        <f t="shared" si="2"/>
        <v>#N/A</v>
      </c>
    </row>
    <row r="47" spans="1:12" x14ac:dyDescent="0.25">
      <c r="A47" s="20">
        <f t="shared" si="3"/>
        <v>41</v>
      </c>
      <c r="B47" s="21" t="e">
        <f>VLOOKUP(A47,'qx''ler'!$1:$1048576,MATCH(komutasyon_tablo!$A$3,'qx''ler'!$1:$1,0),FALSE)</f>
        <v>#N/A</v>
      </c>
      <c r="C47" s="21" t="e">
        <f t="shared" si="0"/>
        <v>#N/A</v>
      </c>
      <c r="D47" s="22" t="e">
        <f t="shared" si="4"/>
        <v>#N/A</v>
      </c>
      <c r="E47" s="22" t="e">
        <f t="shared" si="1"/>
        <v>#N/A</v>
      </c>
      <c r="F47" s="23" t="e">
        <f t="shared" si="5"/>
        <v>#N/A</v>
      </c>
      <c r="G47" s="23" t="e">
        <f>SUM(F47:F$127)</f>
        <v>#N/A</v>
      </c>
      <c r="H47" s="23" t="e">
        <f>SUM(G47:$G$127)</f>
        <v>#N/A</v>
      </c>
      <c r="I47" s="23" t="e">
        <f t="shared" si="6"/>
        <v>#N/A</v>
      </c>
      <c r="J47" s="23" t="e">
        <f>SUM(I47:I$127)</f>
        <v>#N/A</v>
      </c>
      <c r="K47" s="23" t="e">
        <f>SUM(J47:J$127)</f>
        <v>#N/A</v>
      </c>
      <c r="L47" s="24" t="e">
        <f t="shared" si="2"/>
        <v>#N/A</v>
      </c>
    </row>
    <row r="48" spans="1:12" x14ac:dyDescent="0.25">
      <c r="A48" s="20">
        <f t="shared" si="3"/>
        <v>42</v>
      </c>
      <c r="B48" s="21" t="e">
        <f>VLOOKUP(A48,'qx''ler'!$1:$1048576,MATCH(komutasyon_tablo!$A$3,'qx''ler'!$1:$1,0),FALSE)</f>
        <v>#N/A</v>
      </c>
      <c r="C48" s="21" t="e">
        <f t="shared" si="0"/>
        <v>#N/A</v>
      </c>
      <c r="D48" s="22" t="e">
        <f t="shared" si="4"/>
        <v>#N/A</v>
      </c>
      <c r="E48" s="22" t="e">
        <f t="shared" si="1"/>
        <v>#N/A</v>
      </c>
      <c r="F48" s="23" t="e">
        <f t="shared" si="5"/>
        <v>#N/A</v>
      </c>
      <c r="G48" s="23" t="e">
        <f>SUM(F48:F$127)</f>
        <v>#N/A</v>
      </c>
      <c r="H48" s="23" t="e">
        <f>SUM(G48:$G$127)</f>
        <v>#N/A</v>
      </c>
      <c r="I48" s="23" t="e">
        <f t="shared" si="6"/>
        <v>#N/A</v>
      </c>
      <c r="J48" s="23" t="e">
        <f>SUM(I48:I$127)</f>
        <v>#N/A</v>
      </c>
      <c r="K48" s="23" t="e">
        <f>SUM(J48:J$127)</f>
        <v>#N/A</v>
      </c>
      <c r="L48" s="24" t="e">
        <f t="shared" si="2"/>
        <v>#N/A</v>
      </c>
    </row>
    <row r="49" spans="1:15" x14ac:dyDescent="0.25">
      <c r="A49" s="20">
        <f t="shared" si="3"/>
        <v>43</v>
      </c>
      <c r="B49" s="21" t="e">
        <f>VLOOKUP(A49,'qx''ler'!$1:$1048576,MATCH(komutasyon_tablo!$A$3,'qx''ler'!$1:$1,0),FALSE)</f>
        <v>#N/A</v>
      </c>
      <c r="C49" s="21" t="e">
        <f t="shared" si="0"/>
        <v>#N/A</v>
      </c>
      <c r="D49" s="22" t="e">
        <f t="shared" si="4"/>
        <v>#N/A</v>
      </c>
      <c r="E49" s="22" t="e">
        <f t="shared" si="1"/>
        <v>#N/A</v>
      </c>
      <c r="F49" s="23" t="e">
        <f t="shared" si="5"/>
        <v>#N/A</v>
      </c>
      <c r="G49" s="23" t="e">
        <f>SUM(F49:F$127)</f>
        <v>#N/A</v>
      </c>
      <c r="H49" s="23" t="e">
        <f>SUM(G49:$G$127)</f>
        <v>#N/A</v>
      </c>
      <c r="I49" s="23" t="e">
        <f t="shared" si="6"/>
        <v>#N/A</v>
      </c>
      <c r="J49" s="23" t="e">
        <f>SUM(I49:I$127)</f>
        <v>#N/A</v>
      </c>
      <c r="K49" s="23" t="e">
        <f>SUM(J49:J$127)</f>
        <v>#N/A</v>
      </c>
      <c r="L49" s="24" t="e">
        <f t="shared" si="2"/>
        <v>#N/A</v>
      </c>
    </row>
    <row r="50" spans="1:15" x14ac:dyDescent="0.25">
      <c r="A50" s="20">
        <f t="shared" si="3"/>
        <v>44</v>
      </c>
      <c r="B50" s="21" t="e">
        <f>VLOOKUP(A50,'qx''ler'!$1:$1048576,MATCH(komutasyon_tablo!$A$3,'qx''ler'!$1:$1,0),FALSE)</f>
        <v>#N/A</v>
      </c>
      <c r="C50" s="21" t="e">
        <f t="shared" si="0"/>
        <v>#N/A</v>
      </c>
      <c r="D50" s="22" t="e">
        <f t="shared" si="4"/>
        <v>#N/A</v>
      </c>
      <c r="E50" s="22" t="e">
        <f t="shared" si="1"/>
        <v>#N/A</v>
      </c>
      <c r="F50" s="23" t="e">
        <f t="shared" si="5"/>
        <v>#N/A</v>
      </c>
      <c r="G50" s="23" t="e">
        <f>SUM(F50:F$127)</f>
        <v>#N/A</v>
      </c>
      <c r="H50" s="23" t="e">
        <f>SUM(G50:$G$127)</f>
        <v>#N/A</v>
      </c>
      <c r="I50" s="23" t="e">
        <f t="shared" si="6"/>
        <v>#N/A</v>
      </c>
      <c r="J50" s="23" t="e">
        <f>SUM(I50:I$127)</f>
        <v>#N/A</v>
      </c>
      <c r="K50" s="23" t="e">
        <f>SUM(J50:J$127)</f>
        <v>#N/A</v>
      </c>
      <c r="L50" s="24" t="e">
        <f t="shared" si="2"/>
        <v>#N/A</v>
      </c>
    </row>
    <row r="51" spans="1:15" x14ac:dyDescent="0.25">
      <c r="A51" s="20">
        <f t="shared" si="3"/>
        <v>45</v>
      </c>
      <c r="B51" s="21" t="e">
        <f>VLOOKUP(A51,'qx''ler'!$1:$1048576,MATCH(komutasyon_tablo!$A$3,'qx''ler'!$1:$1,0),FALSE)</f>
        <v>#N/A</v>
      </c>
      <c r="C51" s="21" t="e">
        <f t="shared" si="0"/>
        <v>#N/A</v>
      </c>
      <c r="D51" s="22" t="e">
        <f t="shared" si="4"/>
        <v>#N/A</v>
      </c>
      <c r="E51" s="22" t="e">
        <f t="shared" si="1"/>
        <v>#N/A</v>
      </c>
      <c r="F51" s="23" t="e">
        <f t="shared" si="5"/>
        <v>#N/A</v>
      </c>
      <c r="G51" s="23" t="e">
        <f>SUM(F51:F$127)</f>
        <v>#N/A</v>
      </c>
      <c r="H51" s="23" t="e">
        <f>SUM(G51:$G$127)</f>
        <v>#N/A</v>
      </c>
      <c r="I51" s="23" t="e">
        <f t="shared" si="6"/>
        <v>#N/A</v>
      </c>
      <c r="J51" s="23" t="e">
        <f>SUM(I51:I$127)</f>
        <v>#N/A</v>
      </c>
      <c r="K51" s="23" t="e">
        <f>SUM(J51:J$127)</f>
        <v>#N/A</v>
      </c>
      <c r="L51" s="24" t="e">
        <f t="shared" si="2"/>
        <v>#N/A</v>
      </c>
    </row>
    <row r="52" spans="1:15" x14ac:dyDescent="0.25">
      <c r="A52" s="20">
        <f t="shared" si="3"/>
        <v>46</v>
      </c>
      <c r="B52" s="21" t="e">
        <f>VLOOKUP(A52,'qx''ler'!$1:$1048576,MATCH(komutasyon_tablo!$A$3,'qx''ler'!$1:$1,0),FALSE)</f>
        <v>#N/A</v>
      </c>
      <c r="C52" s="21" t="e">
        <f t="shared" si="0"/>
        <v>#N/A</v>
      </c>
      <c r="D52" s="22" t="e">
        <f t="shared" si="4"/>
        <v>#N/A</v>
      </c>
      <c r="E52" s="22" t="e">
        <f t="shared" si="1"/>
        <v>#N/A</v>
      </c>
      <c r="F52" s="23" t="e">
        <f t="shared" si="5"/>
        <v>#N/A</v>
      </c>
      <c r="G52" s="23" t="e">
        <f>SUM(F52:F$127)</f>
        <v>#N/A</v>
      </c>
      <c r="H52" s="23" t="e">
        <f>SUM(G52:$G$127)</f>
        <v>#N/A</v>
      </c>
      <c r="I52" s="23" t="e">
        <f t="shared" si="6"/>
        <v>#N/A</v>
      </c>
      <c r="J52" s="23" t="e">
        <f>SUM(I52:I$127)</f>
        <v>#N/A</v>
      </c>
      <c r="K52" s="23" t="e">
        <f>SUM(J52:J$127)</f>
        <v>#N/A</v>
      </c>
      <c r="L52" s="24" t="e">
        <f t="shared" si="2"/>
        <v>#N/A</v>
      </c>
    </row>
    <row r="53" spans="1:15" x14ac:dyDescent="0.25">
      <c r="A53" s="20">
        <f t="shared" si="3"/>
        <v>47</v>
      </c>
      <c r="B53" s="21" t="e">
        <f>VLOOKUP(A53,'qx''ler'!$1:$1048576,MATCH(komutasyon_tablo!$A$3,'qx''ler'!$1:$1,0),FALSE)</f>
        <v>#N/A</v>
      </c>
      <c r="C53" s="21" t="e">
        <f t="shared" si="0"/>
        <v>#N/A</v>
      </c>
      <c r="D53" s="22" t="e">
        <f t="shared" si="4"/>
        <v>#N/A</v>
      </c>
      <c r="E53" s="22" t="e">
        <f t="shared" si="1"/>
        <v>#N/A</v>
      </c>
      <c r="F53" s="23" t="e">
        <f t="shared" si="5"/>
        <v>#N/A</v>
      </c>
      <c r="G53" s="23" t="e">
        <f>SUM(F53:F$127)</f>
        <v>#N/A</v>
      </c>
      <c r="H53" s="23" t="e">
        <f>SUM(G53:$G$127)</f>
        <v>#N/A</v>
      </c>
      <c r="I53" s="23" t="e">
        <f t="shared" si="6"/>
        <v>#N/A</v>
      </c>
      <c r="J53" s="23" t="e">
        <f>SUM(I53:I$127)</f>
        <v>#N/A</v>
      </c>
      <c r="K53" s="23" t="e">
        <f>SUM(J53:J$127)</f>
        <v>#N/A</v>
      </c>
      <c r="L53" s="24" t="e">
        <f t="shared" si="2"/>
        <v>#N/A</v>
      </c>
    </row>
    <row r="54" spans="1:15" x14ac:dyDescent="0.25">
      <c r="A54" s="20">
        <f t="shared" si="3"/>
        <v>48</v>
      </c>
      <c r="B54" s="21" t="e">
        <f>VLOOKUP(A54,'qx''ler'!$1:$1048576,MATCH(komutasyon_tablo!$A$3,'qx''ler'!$1:$1,0),FALSE)</f>
        <v>#N/A</v>
      </c>
      <c r="C54" s="21" t="e">
        <f t="shared" si="0"/>
        <v>#N/A</v>
      </c>
      <c r="D54" s="22" t="e">
        <f t="shared" si="4"/>
        <v>#N/A</v>
      </c>
      <c r="E54" s="22" t="e">
        <f t="shared" si="1"/>
        <v>#N/A</v>
      </c>
      <c r="F54" s="23" t="e">
        <f t="shared" si="5"/>
        <v>#N/A</v>
      </c>
      <c r="G54" s="23" t="e">
        <f>SUM(F54:F$127)</f>
        <v>#N/A</v>
      </c>
      <c r="H54" s="23" t="e">
        <f>SUM(G54:$G$127)</f>
        <v>#N/A</v>
      </c>
      <c r="I54" s="23" t="e">
        <f t="shared" si="6"/>
        <v>#N/A</v>
      </c>
      <c r="J54" s="23" t="e">
        <f>SUM(I54:I$127)</f>
        <v>#N/A</v>
      </c>
      <c r="K54" s="23" t="e">
        <f>SUM(J54:J$127)</f>
        <v>#N/A</v>
      </c>
      <c r="L54" s="24" t="e">
        <f t="shared" si="2"/>
        <v>#N/A</v>
      </c>
    </row>
    <row r="55" spans="1:15" x14ac:dyDescent="0.25">
      <c r="A55" s="20">
        <f t="shared" si="3"/>
        <v>49</v>
      </c>
      <c r="B55" s="21" t="e">
        <f>VLOOKUP(A55,'qx''ler'!$1:$1048576,MATCH(komutasyon_tablo!$A$3,'qx''ler'!$1:$1,0),FALSE)</f>
        <v>#N/A</v>
      </c>
      <c r="C55" s="21" t="e">
        <f t="shared" si="0"/>
        <v>#N/A</v>
      </c>
      <c r="D55" s="22" t="e">
        <f t="shared" si="4"/>
        <v>#N/A</v>
      </c>
      <c r="E55" s="22" t="e">
        <f t="shared" si="1"/>
        <v>#N/A</v>
      </c>
      <c r="F55" s="23" t="e">
        <f t="shared" si="5"/>
        <v>#N/A</v>
      </c>
      <c r="G55" s="23" t="e">
        <f>SUM(F55:F$127)</f>
        <v>#N/A</v>
      </c>
      <c r="H55" s="23" t="e">
        <f>SUM(G55:$G$127)</f>
        <v>#N/A</v>
      </c>
      <c r="I55" s="23" t="e">
        <f t="shared" si="6"/>
        <v>#N/A</v>
      </c>
      <c r="J55" s="23" t="e">
        <f>SUM(I55:I$127)</f>
        <v>#N/A</v>
      </c>
      <c r="K55" s="23" t="e">
        <f>SUM(J55:J$127)</f>
        <v>#N/A</v>
      </c>
      <c r="L55" s="24" t="e">
        <f t="shared" si="2"/>
        <v>#N/A</v>
      </c>
    </row>
    <row r="56" spans="1:15" x14ac:dyDescent="0.25">
      <c r="A56" s="20">
        <f t="shared" si="3"/>
        <v>50</v>
      </c>
      <c r="B56" s="21" t="e">
        <f>VLOOKUP(A56,'qx''ler'!$1:$1048576,MATCH(komutasyon_tablo!$A$3,'qx''ler'!$1:$1,0),FALSE)</f>
        <v>#N/A</v>
      </c>
      <c r="C56" s="21" t="e">
        <f t="shared" si="0"/>
        <v>#N/A</v>
      </c>
      <c r="D56" s="22" t="e">
        <f t="shared" si="4"/>
        <v>#N/A</v>
      </c>
      <c r="E56" s="22" t="e">
        <f t="shared" si="1"/>
        <v>#N/A</v>
      </c>
      <c r="F56" s="23" t="e">
        <f t="shared" si="5"/>
        <v>#N/A</v>
      </c>
      <c r="G56" s="23" t="e">
        <f>SUM(F56:F$127)</f>
        <v>#N/A</v>
      </c>
      <c r="H56" s="23" t="e">
        <f>SUM(G56:$G$127)</f>
        <v>#N/A</v>
      </c>
      <c r="I56" s="23" t="e">
        <f t="shared" si="6"/>
        <v>#N/A</v>
      </c>
      <c r="J56" s="23" t="e">
        <f>SUM(I56:I$127)</f>
        <v>#N/A</v>
      </c>
      <c r="K56" s="23" t="e">
        <f>SUM(J56:J$127)</f>
        <v>#N/A</v>
      </c>
      <c r="L56" s="24" t="e">
        <f t="shared" si="2"/>
        <v>#N/A</v>
      </c>
    </row>
    <row r="57" spans="1:15" x14ac:dyDescent="0.25">
      <c r="A57" s="20">
        <f t="shared" si="3"/>
        <v>51</v>
      </c>
      <c r="B57" s="21" t="e">
        <f>VLOOKUP(A57,'qx''ler'!$1:$1048576,MATCH(komutasyon_tablo!$A$3,'qx''ler'!$1:$1,0),FALSE)</f>
        <v>#N/A</v>
      </c>
      <c r="C57" s="21" t="e">
        <f t="shared" si="0"/>
        <v>#N/A</v>
      </c>
      <c r="D57" s="22" t="e">
        <f t="shared" si="4"/>
        <v>#N/A</v>
      </c>
      <c r="E57" s="22" t="e">
        <f t="shared" si="1"/>
        <v>#N/A</v>
      </c>
      <c r="F57" s="23" t="e">
        <f t="shared" si="5"/>
        <v>#N/A</v>
      </c>
      <c r="G57" s="23" t="e">
        <f>SUM(F57:F$127)</f>
        <v>#N/A</v>
      </c>
      <c r="H57" s="23" t="e">
        <f>SUM(G57:$G$127)</f>
        <v>#N/A</v>
      </c>
      <c r="I57" s="23" t="e">
        <f t="shared" si="6"/>
        <v>#N/A</v>
      </c>
      <c r="J57" s="23" t="e">
        <f>SUM(I57:I$127)</f>
        <v>#N/A</v>
      </c>
      <c r="K57" s="23" t="e">
        <f>SUM(J57:J$127)</f>
        <v>#N/A</v>
      </c>
      <c r="L57" s="24" t="e">
        <f t="shared" si="2"/>
        <v>#N/A</v>
      </c>
    </row>
    <row r="58" spans="1:15" x14ac:dyDescent="0.25">
      <c r="A58" s="20">
        <f t="shared" si="3"/>
        <v>52</v>
      </c>
      <c r="B58" s="21" t="e">
        <f>VLOOKUP(A58,'qx''ler'!$1:$1048576,MATCH(komutasyon_tablo!$A$3,'qx''ler'!$1:$1,0),FALSE)</f>
        <v>#N/A</v>
      </c>
      <c r="C58" s="21" t="e">
        <f t="shared" si="0"/>
        <v>#N/A</v>
      </c>
      <c r="D58" s="22" t="e">
        <f t="shared" si="4"/>
        <v>#N/A</v>
      </c>
      <c r="E58" s="22" t="e">
        <f t="shared" si="1"/>
        <v>#N/A</v>
      </c>
      <c r="F58" s="23" t="e">
        <f t="shared" si="5"/>
        <v>#N/A</v>
      </c>
      <c r="G58" s="23" t="e">
        <f>SUM(F58:F$127)</f>
        <v>#N/A</v>
      </c>
      <c r="H58" s="23" t="e">
        <f>SUM(G58:$G$127)</f>
        <v>#N/A</v>
      </c>
      <c r="I58" s="23" t="e">
        <f t="shared" si="6"/>
        <v>#N/A</v>
      </c>
      <c r="J58" s="23" t="e">
        <f>SUM(I58:I$127)</f>
        <v>#N/A</v>
      </c>
      <c r="K58" s="23" t="e">
        <f>SUM(J58:J$127)</f>
        <v>#N/A</v>
      </c>
      <c r="L58" s="24" t="e">
        <f t="shared" si="2"/>
        <v>#N/A</v>
      </c>
    </row>
    <row r="59" spans="1:15" x14ac:dyDescent="0.25">
      <c r="A59" s="20">
        <f t="shared" si="3"/>
        <v>53</v>
      </c>
      <c r="B59" s="21" t="e">
        <f>VLOOKUP(A59,'qx''ler'!$1:$1048576,MATCH(komutasyon_tablo!$A$3,'qx''ler'!$1:$1,0),FALSE)</f>
        <v>#N/A</v>
      </c>
      <c r="C59" s="21" t="e">
        <f t="shared" si="0"/>
        <v>#N/A</v>
      </c>
      <c r="D59" s="22" t="e">
        <f t="shared" si="4"/>
        <v>#N/A</v>
      </c>
      <c r="E59" s="22" t="e">
        <f t="shared" si="1"/>
        <v>#N/A</v>
      </c>
      <c r="F59" s="23" t="e">
        <f t="shared" si="5"/>
        <v>#N/A</v>
      </c>
      <c r="G59" s="23" t="e">
        <f>SUM(F59:F$127)</f>
        <v>#N/A</v>
      </c>
      <c r="H59" s="23" t="e">
        <f>SUM(G59:$G$127)</f>
        <v>#N/A</v>
      </c>
      <c r="I59" s="23" t="e">
        <f t="shared" si="6"/>
        <v>#N/A</v>
      </c>
      <c r="J59" s="23" t="e">
        <f>SUM(I59:I$127)</f>
        <v>#N/A</v>
      </c>
      <c r="K59" s="23" t="e">
        <f>SUM(J59:J$127)</f>
        <v>#N/A</v>
      </c>
      <c r="L59" s="24" t="e">
        <f t="shared" si="2"/>
        <v>#N/A</v>
      </c>
    </row>
    <row r="60" spans="1:15" x14ac:dyDescent="0.25">
      <c r="A60" s="20">
        <f t="shared" si="3"/>
        <v>54</v>
      </c>
      <c r="B60" s="21" t="e">
        <f>VLOOKUP(A60,'qx''ler'!$1:$1048576,MATCH(komutasyon_tablo!$A$3,'qx''ler'!$1:$1,0),FALSE)</f>
        <v>#N/A</v>
      </c>
      <c r="C60" s="21" t="e">
        <f t="shared" si="0"/>
        <v>#N/A</v>
      </c>
      <c r="D60" s="22" t="e">
        <f t="shared" si="4"/>
        <v>#N/A</v>
      </c>
      <c r="E60" s="22" t="e">
        <f t="shared" si="1"/>
        <v>#N/A</v>
      </c>
      <c r="F60" s="23" t="e">
        <f t="shared" si="5"/>
        <v>#N/A</v>
      </c>
      <c r="G60" s="23" t="e">
        <f>SUM(F60:F$127)</f>
        <v>#N/A</v>
      </c>
      <c r="H60" s="23" t="e">
        <f>SUM(G60:$G$127)</f>
        <v>#N/A</v>
      </c>
      <c r="I60" s="23" t="e">
        <f t="shared" si="6"/>
        <v>#N/A</v>
      </c>
      <c r="J60" s="23" t="e">
        <f>SUM(I60:I$127)</f>
        <v>#N/A</v>
      </c>
      <c r="K60" s="23" t="e">
        <f>SUM(J60:J$127)</f>
        <v>#N/A</v>
      </c>
      <c r="L60" s="24" t="e">
        <f t="shared" si="2"/>
        <v>#N/A</v>
      </c>
    </row>
    <row r="61" spans="1:15" x14ac:dyDescent="0.25">
      <c r="A61" s="20">
        <f t="shared" si="3"/>
        <v>55</v>
      </c>
      <c r="B61" s="21" t="e">
        <f>VLOOKUP(A61,'qx''ler'!$1:$1048576,MATCH(komutasyon_tablo!$A$3,'qx''ler'!$1:$1,0),FALSE)</f>
        <v>#N/A</v>
      </c>
      <c r="C61" s="21" t="e">
        <f t="shared" si="0"/>
        <v>#N/A</v>
      </c>
      <c r="D61" s="22" t="e">
        <f t="shared" si="4"/>
        <v>#N/A</v>
      </c>
      <c r="E61" s="22" t="e">
        <f t="shared" si="1"/>
        <v>#N/A</v>
      </c>
      <c r="F61" s="23" t="e">
        <f t="shared" si="5"/>
        <v>#N/A</v>
      </c>
      <c r="G61" s="23" t="e">
        <f>SUM(F61:F$127)</f>
        <v>#N/A</v>
      </c>
      <c r="H61" s="23" t="e">
        <f>SUM(G61:$G$127)</f>
        <v>#N/A</v>
      </c>
      <c r="I61" s="23" t="e">
        <f t="shared" si="6"/>
        <v>#N/A</v>
      </c>
      <c r="J61" s="23" t="e">
        <f>SUM(I61:I$127)</f>
        <v>#N/A</v>
      </c>
      <c r="K61" s="23" t="e">
        <f>SUM(J61:J$127)</f>
        <v>#N/A</v>
      </c>
      <c r="L61" s="24" t="e">
        <f t="shared" si="2"/>
        <v>#N/A</v>
      </c>
    </row>
    <row r="62" spans="1:15" x14ac:dyDescent="0.25">
      <c r="A62" s="20">
        <f t="shared" si="3"/>
        <v>56</v>
      </c>
      <c r="B62" s="21" t="e">
        <f>VLOOKUP(A62,'qx''ler'!$1:$1048576,MATCH(komutasyon_tablo!$A$3,'qx''ler'!$1:$1,0),FALSE)</f>
        <v>#N/A</v>
      </c>
      <c r="C62" s="21" t="e">
        <f t="shared" si="0"/>
        <v>#N/A</v>
      </c>
      <c r="D62" s="22" t="e">
        <f t="shared" si="4"/>
        <v>#N/A</v>
      </c>
      <c r="E62" s="22" t="e">
        <f t="shared" si="1"/>
        <v>#N/A</v>
      </c>
      <c r="F62" s="23" t="e">
        <f t="shared" si="5"/>
        <v>#N/A</v>
      </c>
      <c r="G62" s="23" t="e">
        <f>SUM(F62:F$127)</f>
        <v>#N/A</v>
      </c>
      <c r="H62" s="23" t="e">
        <f>SUM(G62:$G$127)</f>
        <v>#N/A</v>
      </c>
      <c r="I62" s="23" t="e">
        <f t="shared" si="6"/>
        <v>#N/A</v>
      </c>
      <c r="J62" s="23" t="e">
        <f>SUM(I62:I$127)</f>
        <v>#N/A</v>
      </c>
      <c r="K62" s="23" t="e">
        <f>SUM(J62:J$127)</f>
        <v>#N/A</v>
      </c>
      <c r="L62" s="24" t="e">
        <f t="shared" si="2"/>
        <v>#N/A</v>
      </c>
    </row>
    <row r="63" spans="1:15" x14ac:dyDescent="0.25">
      <c r="A63" s="20">
        <f t="shared" si="3"/>
        <v>57</v>
      </c>
      <c r="B63" s="21" t="e">
        <f>VLOOKUP(A63,'qx''ler'!$1:$1048576,MATCH(komutasyon_tablo!$A$3,'qx''ler'!$1:$1,0),FALSE)</f>
        <v>#N/A</v>
      </c>
      <c r="C63" s="21" t="e">
        <f t="shared" si="0"/>
        <v>#N/A</v>
      </c>
      <c r="D63" s="22" t="e">
        <f t="shared" si="4"/>
        <v>#N/A</v>
      </c>
      <c r="E63" s="22" t="e">
        <f t="shared" si="1"/>
        <v>#N/A</v>
      </c>
      <c r="F63" s="23" t="e">
        <f t="shared" si="5"/>
        <v>#N/A</v>
      </c>
      <c r="G63" s="23" t="e">
        <f>SUM(F63:F$127)</f>
        <v>#N/A</v>
      </c>
      <c r="H63" s="23" t="e">
        <f>SUM(G63:$G$127)</f>
        <v>#N/A</v>
      </c>
      <c r="I63" s="23" t="e">
        <f t="shared" si="6"/>
        <v>#N/A</v>
      </c>
      <c r="J63" s="23" t="e">
        <f>SUM(I63:I$127)</f>
        <v>#N/A</v>
      </c>
      <c r="K63" s="23" t="e">
        <f>SUM(J63:J$127)</f>
        <v>#N/A</v>
      </c>
      <c r="L63" s="24" t="e">
        <f t="shared" si="2"/>
        <v>#N/A</v>
      </c>
      <c r="O63" s="25"/>
    </row>
    <row r="64" spans="1:15" x14ac:dyDescent="0.25">
      <c r="A64" s="20">
        <f t="shared" si="3"/>
        <v>58</v>
      </c>
      <c r="B64" s="21" t="e">
        <f>VLOOKUP(A64,'qx''ler'!$1:$1048576,MATCH(komutasyon_tablo!$A$3,'qx''ler'!$1:$1,0),FALSE)</f>
        <v>#N/A</v>
      </c>
      <c r="C64" s="21" t="e">
        <f t="shared" si="0"/>
        <v>#N/A</v>
      </c>
      <c r="D64" s="22" t="e">
        <f t="shared" si="4"/>
        <v>#N/A</v>
      </c>
      <c r="E64" s="22" t="e">
        <f t="shared" si="1"/>
        <v>#N/A</v>
      </c>
      <c r="F64" s="23" t="e">
        <f t="shared" si="5"/>
        <v>#N/A</v>
      </c>
      <c r="G64" s="23" t="e">
        <f>SUM(F64:F$127)</f>
        <v>#N/A</v>
      </c>
      <c r="H64" s="23" t="e">
        <f>SUM(G64:$G$127)</f>
        <v>#N/A</v>
      </c>
      <c r="I64" s="23" t="e">
        <f t="shared" si="6"/>
        <v>#N/A</v>
      </c>
      <c r="J64" s="23" t="e">
        <f>SUM(I64:I$127)</f>
        <v>#N/A</v>
      </c>
      <c r="K64" s="23" t="e">
        <f>SUM(J64:J$127)</f>
        <v>#N/A</v>
      </c>
      <c r="L64" s="24" t="e">
        <f t="shared" si="2"/>
        <v>#N/A</v>
      </c>
      <c r="O64" s="25"/>
    </row>
    <row r="65" spans="1:15" x14ac:dyDescent="0.25">
      <c r="A65" s="20">
        <f t="shared" si="3"/>
        <v>59</v>
      </c>
      <c r="B65" s="21" t="e">
        <f>VLOOKUP(A65,'qx''ler'!$1:$1048576,MATCH(komutasyon_tablo!$A$3,'qx''ler'!$1:$1,0),FALSE)</f>
        <v>#N/A</v>
      </c>
      <c r="C65" s="21" t="e">
        <f t="shared" si="0"/>
        <v>#N/A</v>
      </c>
      <c r="D65" s="22" t="e">
        <f t="shared" si="4"/>
        <v>#N/A</v>
      </c>
      <c r="E65" s="22" t="e">
        <f t="shared" si="1"/>
        <v>#N/A</v>
      </c>
      <c r="F65" s="23" t="e">
        <f t="shared" si="5"/>
        <v>#N/A</v>
      </c>
      <c r="G65" s="23" t="e">
        <f>SUM(F65:F$127)</f>
        <v>#N/A</v>
      </c>
      <c r="H65" s="23" t="e">
        <f>SUM(G65:$G$127)</f>
        <v>#N/A</v>
      </c>
      <c r="I65" s="23" t="e">
        <f t="shared" si="6"/>
        <v>#N/A</v>
      </c>
      <c r="J65" s="23" t="e">
        <f>SUM(I65:I$127)</f>
        <v>#N/A</v>
      </c>
      <c r="K65" s="23" t="e">
        <f>SUM(J65:J$127)</f>
        <v>#N/A</v>
      </c>
      <c r="L65" s="24" t="e">
        <f t="shared" si="2"/>
        <v>#N/A</v>
      </c>
      <c r="O65" s="25"/>
    </row>
    <row r="66" spans="1:15" x14ac:dyDescent="0.25">
      <c r="A66" s="20">
        <f t="shared" si="3"/>
        <v>60</v>
      </c>
      <c r="B66" s="21" t="e">
        <f>VLOOKUP(A66,'qx''ler'!$1:$1048576,MATCH(komutasyon_tablo!$A$3,'qx''ler'!$1:$1,0),FALSE)</f>
        <v>#N/A</v>
      </c>
      <c r="C66" s="21" t="e">
        <f t="shared" si="0"/>
        <v>#N/A</v>
      </c>
      <c r="D66" s="22" t="e">
        <f t="shared" si="4"/>
        <v>#N/A</v>
      </c>
      <c r="E66" s="22" t="e">
        <f t="shared" si="1"/>
        <v>#N/A</v>
      </c>
      <c r="F66" s="23" t="e">
        <f t="shared" si="5"/>
        <v>#N/A</v>
      </c>
      <c r="G66" s="23" t="e">
        <f>SUM(F66:F$127)</f>
        <v>#N/A</v>
      </c>
      <c r="H66" s="23" t="e">
        <f>SUM(G66:$G$127)</f>
        <v>#N/A</v>
      </c>
      <c r="I66" s="23" t="e">
        <f t="shared" si="6"/>
        <v>#N/A</v>
      </c>
      <c r="J66" s="23" t="e">
        <f>SUM(I66:I$127)</f>
        <v>#N/A</v>
      </c>
      <c r="K66" s="23" t="e">
        <f>SUM(J66:J$127)</f>
        <v>#N/A</v>
      </c>
      <c r="L66" s="24" t="e">
        <f t="shared" si="2"/>
        <v>#N/A</v>
      </c>
      <c r="O66" s="25"/>
    </row>
    <row r="67" spans="1:15" x14ac:dyDescent="0.25">
      <c r="A67" s="20">
        <f t="shared" si="3"/>
        <v>61</v>
      </c>
      <c r="B67" s="21" t="e">
        <f>VLOOKUP(A67,'qx''ler'!$1:$1048576,MATCH(komutasyon_tablo!$A$3,'qx''ler'!$1:$1,0),FALSE)</f>
        <v>#N/A</v>
      </c>
      <c r="C67" s="21" t="e">
        <f t="shared" si="0"/>
        <v>#N/A</v>
      </c>
      <c r="D67" s="22" t="e">
        <f t="shared" si="4"/>
        <v>#N/A</v>
      </c>
      <c r="E67" s="22" t="e">
        <f t="shared" si="1"/>
        <v>#N/A</v>
      </c>
      <c r="F67" s="23" t="e">
        <f t="shared" si="5"/>
        <v>#N/A</v>
      </c>
      <c r="G67" s="23" t="e">
        <f>SUM(F67:F$127)</f>
        <v>#N/A</v>
      </c>
      <c r="H67" s="23" t="e">
        <f>SUM(G67:$G$127)</f>
        <v>#N/A</v>
      </c>
      <c r="I67" s="23" t="e">
        <f t="shared" si="6"/>
        <v>#N/A</v>
      </c>
      <c r="J67" s="23" t="e">
        <f>SUM(I67:I$127)</f>
        <v>#N/A</v>
      </c>
      <c r="K67" s="23" t="e">
        <f>SUM(J67:J$127)</f>
        <v>#N/A</v>
      </c>
      <c r="L67" s="24" t="e">
        <f t="shared" si="2"/>
        <v>#N/A</v>
      </c>
    </row>
    <row r="68" spans="1:15" x14ac:dyDescent="0.25">
      <c r="A68" s="20">
        <f t="shared" si="3"/>
        <v>62</v>
      </c>
      <c r="B68" s="21" t="e">
        <f>VLOOKUP(A68,'qx''ler'!$1:$1048576,MATCH(komutasyon_tablo!$A$3,'qx''ler'!$1:$1,0),FALSE)</f>
        <v>#N/A</v>
      </c>
      <c r="C68" s="21" t="e">
        <f t="shared" si="0"/>
        <v>#N/A</v>
      </c>
      <c r="D68" s="22" t="e">
        <f t="shared" si="4"/>
        <v>#N/A</v>
      </c>
      <c r="E68" s="22" t="e">
        <f t="shared" si="1"/>
        <v>#N/A</v>
      </c>
      <c r="F68" s="23" t="e">
        <f t="shared" si="5"/>
        <v>#N/A</v>
      </c>
      <c r="G68" s="23" t="e">
        <f>SUM(F68:F$127)</f>
        <v>#N/A</v>
      </c>
      <c r="H68" s="23" t="e">
        <f>SUM(G68:$G$127)</f>
        <v>#N/A</v>
      </c>
      <c r="I68" s="23" t="e">
        <f t="shared" si="6"/>
        <v>#N/A</v>
      </c>
      <c r="J68" s="23" t="e">
        <f>SUM(I68:I$127)</f>
        <v>#N/A</v>
      </c>
      <c r="K68" s="23" t="e">
        <f>SUM(J68:J$127)</f>
        <v>#N/A</v>
      </c>
      <c r="L68" s="24" t="e">
        <f t="shared" si="2"/>
        <v>#N/A</v>
      </c>
    </row>
    <row r="69" spans="1:15" x14ac:dyDescent="0.25">
      <c r="A69" s="20">
        <f t="shared" si="3"/>
        <v>63</v>
      </c>
      <c r="B69" s="21" t="e">
        <f>VLOOKUP(A69,'qx''ler'!$1:$1048576,MATCH(komutasyon_tablo!$A$3,'qx''ler'!$1:$1,0),FALSE)</f>
        <v>#N/A</v>
      </c>
      <c r="C69" s="21" t="e">
        <f t="shared" si="0"/>
        <v>#N/A</v>
      </c>
      <c r="D69" s="22" t="e">
        <f t="shared" si="4"/>
        <v>#N/A</v>
      </c>
      <c r="E69" s="22" t="e">
        <f t="shared" si="1"/>
        <v>#N/A</v>
      </c>
      <c r="F69" s="23" t="e">
        <f t="shared" si="5"/>
        <v>#N/A</v>
      </c>
      <c r="G69" s="23" t="e">
        <f>SUM(F69:F$127)</f>
        <v>#N/A</v>
      </c>
      <c r="H69" s="23" t="e">
        <f>SUM(G69:$G$127)</f>
        <v>#N/A</v>
      </c>
      <c r="I69" s="23" t="e">
        <f t="shared" si="6"/>
        <v>#N/A</v>
      </c>
      <c r="J69" s="23" t="e">
        <f>SUM(I69:I$127)</f>
        <v>#N/A</v>
      </c>
      <c r="K69" s="23" t="e">
        <f>SUM(J69:J$127)</f>
        <v>#N/A</v>
      </c>
      <c r="L69" s="24" t="e">
        <f t="shared" si="2"/>
        <v>#N/A</v>
      </c>
    </row>
    <row r="70" spans="1:15" x14ac:dyDescent="0.25">
      <c r="A70" s="20">
        <f t="shared" si="3"/>
        <v>64</v>
      </c>
      <c r="B70" s="21" t="e">
        <f>VLOOKUP(A70,'qx''ler'!$1:$1048576,MATCH(komutasyon_tablo!$A$3,'qx''ler'!$1:$1,0),FALSE)</f>
        <v>#N/A</v>
      </c>
      <c r="C70" s="21" t="e">
        <f t="shared" ref="C70:C101" si="7">1-B70</f>
        <v>#N/A</v>
      </c>
      <c r="D70" s="22" t="e">
        <f t="shared" si="4"/>
        <v>#N/A</v>
      </c>
      <c r="E70" s="22" t="e">
        <f t="shared" ref="E70:E101" si="8">D70*B70</f>
        <v>#N/A</v>
      </c>
      <c r="F70" s="23" t="e">
        <f t="shared" si="5"/>
        <v>#N/A</v>
      </c>
      <c r="G70" s="23" t="e">
        <f>SUM(F70:F$127)</f>
        <v>#N/A</v>
      </c>
      <c r="H70" s="23" t="e">
        <f>SUM(G70:$G$127)</f>
        <v>#N/A</v>
      </c>
      <c r="I70" s="23" t="e">
        <f t="shared" si="6"/>
        <v>#N/A</v>
      </c>
      <c r="J70" s="23" t="e">
        <f>SUM(I70:I$127)</f>
        <v>#N/A</v>
      </c>
      <c r="K70" s="23" t="e">
        <f>SUM(J70:J$127)</f>
        <v>#N/A</v>
      </c>
      <c r="L70" s="24" t="e">
        <f t="shared" ref="L70:L127" si="9">I70/F70</f>
        <v>#N/A</v>
      </c>
    </row>
    <row r="71" spans="1:15" x14ac:dyDescent="0.25">
      <c r="A71" s="20">
        <f t="shared" ref="A71:A127" si="10">A70+1</f>
        <v>65</v>
      </c>
      <c r="B71" s="21" t="e">
        <f>VLOOKUP(A71,'qx''ler'!$1:$1048576,MATCH(komutasyon_tablo!$A$3,'qx''ler'!$1:$1,0),FALSE)</f>
        <v>#N/A</v>
      </c>
      <c r="C71" s="21" t="e">
        <f t="shared" si="7"/>
        <v>#N/A</v>
      </c>
      <c r="D71" s="22" t="e">
        <f t="shared" ref="D71:D127" si="11">D70-E70</f>
        <v>#N/A</v>
      </c>
      <c r="E71" s="22" t="e">
        <f t="shared" si="8"/>
        <v>#N/A</v>
      </c>
      <c r="F71" s="23" t="e">
        <f t="shared" ref="F71:F127" si="12">D71*(1/($B$3^A71))</f>
        <v>#N/A</v>
      </c>
      <c r="G71" s="23" t="e">
        <f>SUM(F71:F$127)</f>
        <v>#N/A</v>
      </c>
      <c r="H71" s="23" t="e">
        <f>SUM(G71:$G$127)</f>
        <v>#N/A</v>
      </c>
      <c r="I71" s="23" t="e">
        <f t="shared" ref="I71:I127" si="13">E71*(1/($B$3^(A71+1)))</f>
        <v>#N/A</v>
      </c>
      <c r="J71" s="23" t="e">
        <f>SUM(I71:I$127)</f>
        <v>#N/A</v>
      </c>
      <c r="K71" s="23" t="e">
        <f>SUM(J71:J$127)</f>
        <v>#N/A</v>
      </c>
      <c r="L71" s="24" t="e">
        <f t="shared" si="9"/>
        <v>#N/A</v>
      </c>
    </row>
    <row r="72" spans="1:15" x14ac:dyDescent="0.25">
      <c r="A72" s="20">
        <f t="shared" si="10"/>
        <v>66</v>
      </c>
      <c r="B72" s="21" t="e">
        <f>VLOOKUP(A72,'qx''ler'!$1:$1048576,MATCH(komutasyon_tablo!$A$3,'qx''ler'!$1:$1,0),FALSE)</f>
        <v>#N/A</v>
      </c>
      <c r="C72" s="21" t="e">
        <f t="shared" si="7"/>
        <v>#N/A</v>
      </c>
      <c r="D72" s="22" t="e">
        <f t="shared" si="11"/>
        <v>#N/A</v>
      </c>
      <c r="E72" s="22" t="e">
        <f t="shared" si="8"/>
        <v>#N/A</v>
      </c>
      <c r="F72" s="23" t="e">
        <f t="shared" si="12"/>
        <v>#N/A</v>
      </c>
      <c r="G72" s="23" t="e">
        <f>SUM(F72:F$127)</f>
        <v>#N/A</v>
      </c>
      <c r="H72" s="23" t="e">
        <f>SUM(G72:$G$127)</f>
        <v>#N/A</v>
      </c>
      <c r="I72" s="23" t="e">
        <f t="shared" si="13"/>
        <v>#N/A</v>
      </c>
      <c r="J72" s="23" t="e">
        <f>SUM(I72:I$127)</f>
        <v>#N/A</v>
      </c>
      <c r="K72" s="23" t="e">
        <f>SUM(J72:J$127)</f>
        <v>#N/A</v>
      </c>
      <c r="L72" s="24" t="e">
        <f t="shared" si="9"/>
        <v>#N/A</v>
      </c>
    </row>
    <row r="73" spans="1:15" x14ac:dyDescent="0.25">
      <c r="A73" s="20">
        <f t="shared" si="10"/>
        <v>67</v>
      </c>
      <c r="B73" s="21" t="e">
        <f>VLOOKUP(A73,'qx''ler'!$1:$1048576,MATCH(komutasyon_tablo!$A$3,'qx''ler'!$1:$1,0),FALSE)</f>
        <v>#N/A</v>
      </c>
      <c r="C73" s="21" t="e">
        <f t="shared" si="7"/>
        <v>#N/A</v>
      </c>
      <c r="D73" s="22" t="e">
        <f t="shared" si="11"/>
        <v>#N/A</v>
      </c>
      <c r="E73" s="22" t="e">
        <f t="shared" si="8"/>
        <v>#N/A</v>
      </c>
      <c r="F73" s="23" t="e">
        <f t="shared" si="12"/>
        <v>#N/A</v>
      </c>
      <c r="G73" s="23" t="e">
        <f>SUM(F73:F$127)</f>
        <v>#N/A</v>
      </c>
      <c r="H73" s="23" t="e">
        <f>SUM(G73:$G$127)</f>
        <v>#N/A</v>
      </c>
      <c r="I73" s="23" t="e">
        <f t="shared" si="13"/>
        <v>#N/A</v>
      </c>
      <c r="J73" s="23" t="e">
        <f>SUM(I73:I$127)</f>
        <v>#N/A</v>
      </c>
      <c r="K73" s="23" t="e">
        <f>SUM(J73:J$127)</f>
        <v>#N/A</v>
      </c>
      <c r="L73" s="24" t="e">
        <f t="shared" si="9"/>
        <v>#N/A</v>
      </c>
    </row>
    <row r="74" spans="1:15" x14ac:dyDescent="0.25">
      <c r="A74" s="20">
        <f t="shared" si="10"/>
        <v>68</v>
      </c>
      <c r="B74" s="21" t="e">
        <f>VLOOKUP(A74,'qx''ler'!$1:$1048576,MATCH(komutasyon_tablo!$A$3,'qx''ler'!$1:$1,0),FALSE)</f>
        <v>#N/A</v>
      </c>
      <c r="C74" s="21" t="e">
        <f t="shared" si="7"/>
        <v>#N/A</v>
      </c>
      <c r="D74" s="22" t="e">
        <f t="shared" si="11"/>
        <v>#N/A</v>
      </c>
      <c r="E74" s="22" t="e">
        <f t="shared" si="8"/>
        <v>#N/A</v>
      </c>
      <c r="F74" s="23" t="e">
        <f t="shared" si="12"/>
        <v>#N/A</v>
      </c>
      <c r="G74" s="23" t="e">
        <f>SUM(F74:F$127)</f>
        <v>#N/A</v>
      </c>
      <c r="H74" s="23" t="e">
        <f>SUM(G74:$G$127)</f>
        <v>#N/A</v>
      </c>
      <c r="I74" s="23" t="e">
        <f t="shared" si="13"/>
        <v>#N/A</v>
      </c>
      <c r="J74" s="23" t="e">
        <f>SUM(I74:I$127)</f>
        <v>#N/A</v>
      </c>
      <c r="K74" s="23" t="e">
        <f>SUM(J74:J$127)</f>
        <v>#N/A</v>
      </c>
      <c r="L74" s="24" t="e">
        <f t="shared" si="9"/>
        <v>#N/A</v>
      </c>
    </row>
    <row r="75" spans="1:15" x14ac:dyDescent="0.25">
      <c r="A75" s="20">
        <f t="shared" si="10"/>
        <v>69</v>
      </c>
      <c r="B75" s="21" t="e">
        <f>VLOOKUP(A75,'qx''ler'!$1:$1048576,MATCH(komutasyon_tablo!$A$3,'qx''ler'!$1:$1,0),FALSE)</f>
        <v>#N/A</v>
      </c>
      <c r="C75" s="21" t="e">
        <f t="shared" si="7"/>
        <v>#N/A</v>
      </c>
      <c r="D75" s="22" t="e">
        <f t="shared" si="11"/>
        <v>#N/A</v>
      </c>
      <c r="E75" s="22" t="e">
        <f t="shared" si="8"/>
        <v>#N/A</v>
      </c>
      <c r="F75" s="23" t="e">
        <f t="shared" si="12"/>
        <v>#N/A</v>
      </c>
      <c r="G75" s="23" t="e">
        <f>SUM(F75:F$127)</f>
        <v>#N/A</v>
      </c>
      <c r="H75" s="23" t="e">
        <f>SUM(G75:$G$127)</f>
        <v>#N/A</v>
      </c>
      <c r="I75" s="23" t="e">
        <f t="shared" si="13"/>
        <v>#N/A</v>
      </c>
      <c r="J75" s="23" t="e">
        <f>SUM(I75:I$127)</f>
        <v>#N/A</v>
      </c>
      <c r="K75" s="23" t="e">
        <f>SUM(J75:J$127)</f>
        <v>#N/A</v>
      </c>
      <c r="L75" s="24" t="e">
        <f t="shared" si="9"/>
        <v>#N/A</v>
      </c>
    </row>
    <row r="76" spans="1:15" x14ac:dyDescent="0.25">
      <c r="A76" s="20">
        <f t="shared" si="10"/>
        <v>70</v>
      </c>
      <c r="B76" s="21" t="e">
        <f>VLOOKUP(A76,'qx''ler'!$1:$1048576,MATCH(komutasyon_tablo!$A$3,'qx''ler'!$1:$1,0),FALSE)</f>
        <v>#N/A</v>
      </c>
      <c r="C76" s="21" t="e">
        <f t="shared" si="7"/>
        <v>#N/A</v>
      </c>
      <c r="D76" s="22" t="e">
        <f t="shared" si="11"/>
        <v>#N/A</v>
      </c>
      <c r="E76" s="22" t="e">
        <f t="shared" si="8"/>
        <v>#N/A</v>
      </c>
      <c r="F76" s="23" t="e">
        <f t="shared" si="12"/>
        <v>#N/A</v>
      </c>
      <c r="G76" s="23" t="e">
        <f>SUM(F76:F$127)</f>
        <v>#N/A</v>
      </c>
      <c r="H76" s="23" t="e">
        <f>SUM(G76:$G$127)</f>
        <v>#N/A</v>
      </c>
      <c r="I76" s="23" t="e">
        <f t="shared" si="13"/>
        <v>#N/A</v>
      </c>
      <c r="J76" s="23" t="e">
        <f>SUM(I76:I$127)</f>
        <v>#N/A</v>
      </c>
      <c r="K76" s="23" t="e">
        <f>SUM(J76:J$127)</f>
        <v>#N/A</v>
      </c>
      <c r="L76" s="24" t="e">
        <f t="shared" si="9"/>
        <v>#N/A</v>
      </c>
    </row>
    <row r="77" spans="1:15" x14ac:dyDescent="0.25">
      <c r="A77" s="20">
        <f t="shared" si="10"/>
        <v>71</v>
      </c>
      <c r="B77" s="21" t="e">
        <f>VLOOKUP(A77,'qx''ler'!$1:$1048576,MATCH(komutasyon_tablo!$A$3,'qx''ler'!$1:$1,0),FALSE)</f>
        <v>#N/A</v>
      </c>
      <c r="C77" s="21" t="e">
        <f t="shared" si="7"/>
        <v>#N/A</v>
      </c>
      <c r="D77" s="22" t="e">
        <f t="shared" si="11"/>
        <v>#N/A</v>
      </c>
      <c r="E77" s="22" t="e">
        <f t="shared" si="8"/>
        <v>#N/A</v>
      </c>
      <c r="F77" s="23" t="e">
        <f t="shared" si="12"/>
        <v>#N/A</v>
      </c>
      <c r="G77" s="23" t="e">
        <f>SUM(F77:F$127)</f>
        <v>#N/A</v>
      </c>
      <c r="H77" s="23" t="e">
        <f>SUM(G77:$G$127)</f>
        <v>#N/A</v>
      </c>
      <c r="I77" s="23" t="e">
        <f t="shared" si="13"/>
        <v>#N/A</v>
      </c>
      <c r="J77" s="23" t="e">
        <f>SUM(I77:I$127)</f>
        <v>#N/A</v>
      </c>
      <c r="K77" s="23" t="e">
        <f>SUM(J77:J$127)</f>
        <v>#N/A</v>
      </c>
      <c r="L77" s="24" t="e">
        <f t="shared" si="9"/>
        <v>#N/A</v>
      </c>
    </row>
    <row r="78" spans="1:15" x14ac:dyDescent="0.25">
      <c r="A78" s="20">
        <f t="shared" si="10"/>
        <v>72</v>
      </c>
      <c r="B78" s="21" t="e">
        <f>VLOOKUP(A78,'qx''ler'!$1:$1048576,MATCH(komutasyon_tablo!$A$3,'qx''ler'!$1:$1,0),FALSE)</f>
        <v>#N/A</v>
      </c>
      <c r="C78" s="21" t="e">
        <f t="shared" si="7"/>
        <v>#N/A</v>
      </c>
      <c r="D78" s="22" t="e">
        <f t="shared" si="11"/>
        <v>#N/A</v>
      </c>
      <c r="E78" s="22" t="e">
        <f t="shared" si="8"/>
        <v>#N/A</v>
      </c>
      <c r="F78" s="23" t="e">
        <f t="shared" si="12"/>
        <v>#N/A</v>
      </c>
      <c r="G78" s="23" t="e">
        <f>SUM(F78:F$127)</f>
        <v>#N/A</v>
      </c>
      <c r="H78" s="23" t="e">
        <f>SUM(G78:$G$127)</f>
        <v>#N/A</v>
      </c>
      <c r="I78" s="23" t="e">
        <f t="shared" si="13"/>
        <v>#N/A</v>
      </c>
      <c r="J78" s="23" t="e">
        <f>SUM(I78:I$127)</f>
        <v>#N/A</v>
      </c>
      <c r="K78" s="23" t="e">
        <f>SUM(J78:J$127)</f>
        <v>#N/A</v>
      </c>
      <c r="L78" s="24" t="e">
        <f t="shared" si="9"/>
        <v>#N/A</v>
      </c>
    </row>
    <row r="79" spans="1:15" x14ac:dyDescent="0.25">
      <c r="A79" s="20">
        <f t="shared" si="10"/>
        <v>73</v>
      </c>
      <c r="B79" s="21" t="e">
        <f>VLOOKUP(A79,'qx''ler'!$1:$1048576,MATCH(komutasyon_tablo!$A$3,'qx''ler'!$1:$1,0),FALSE)</f>
        <v>#N/A</v>
      </c>
      <c r="C79" s="21" t="e">
        <f t="shared" si="7"/>
        <v>#N/A</v>
      </c>
      <c r="D79" s="22" t="e">
        <f t="shared" si="11"/>
        <v>#N/A</v>
      </c>
      <c r="E79" s="22" t="e">
        <f t="shared" si="8"/>
        <v>#N/A</v>
      </c>
      <c r="F79" s="23" t="e">
        <f t="shared" si="12"/>
        <v>#N/A</v>
      </c>
      <c r="G79" s="23" t="e">
        <f>SUM(F79:F$127)</f>
        <v>#N/A</v>
      </c>
      <c r="H79" s="23" t="e">
        <f>SUM(G79:$G$127)</f>
        <v>#N/A</v>
      </c>
      <c r="I79" s="23" t="e">
        <f t="shared" si="13"/>
        <v>#N/A</v>
      </c>
      <c r="J79" s="23" t="e">
        <f>SUM(I79:I$127)</f>
        <v>#N/A</v>
      </c>
      <c r="K79" s="23" t="e">
        <f>SUM(J79:J$127)</f>
        <v>#N/A</v>
      </c>
      <c r="L79" s="24" t="e">
        <f t="shared" si="9"/>
        <v>#N/A</v>
      </c>
    </row>
    <row r="80" spans="1:15" x14ac:dyDescent="0.25">
      <c r="A80" s="20">
        <f t="shared" si="10"/>
        <v>74</v>
      </c>
      <c r="B80" s="21" t="e">
        <f>VLOOKUP(A80,'qx''ler'!$1:$1048576,MATCH(komutasyon_tablo!$A$3,'qx''ler'!$1:$1,0),FALSE)</f>
        <v>#N/A</v>
      </c>
      <c r="C80" s="21" t="e">
        <f t="shared" si="7"/>
        <v>#N/A</v>
      </c>
      <c r="D80" s="22" t="e">
        <f t="shared" si="11"/>
        <v>#N/A</v>
      </c>
      <c r="E80" s="22" t="e">
        <f t="shared" si="8"/>
        <v>#N/A</v>
      </c>
      <c r="F80" s="23" t="e">
        <f t="shared" si="12"/>
        <v>#N/A</v>
      </c>
      <c r="G80" s="23" t="e">
        <f>SUM(F80:F$127)</f>
        <v>#N/A</v>
      </c>
      <c r="H80" s="23" t="e">
        <f>SUM(G80:$G$127)</f>
        <v>#N/A</v>
      </c>
      <c r="I80" s="23" t="e">
        <f t="shared" si="13"/>
        <v>#N/A</v>
      </c>
      <c r="J80" s="23" t="e">
        <f>SUM(I80:I$127)</f>
        <v>#N/A</v>
      </c>
      <c r="K80" s="23" t="e">
        <f>SUM(J80:J$127)</f>
        <v>#N/A</v>
      </c>
      <c r="L80" s="24" t="e">
        <f t="shared" si="9"/>
        <v>#N/A</v>
      </c>
    </row>
    <row r="81" spans="1:12" x14ac:dyDescent="0.25">
      <c r="A81" s="20">
        <f t="shared" si="10"/>
        <v>75</v>
      </c>
      <c r="B81" s="21" t="e">
        <f>VLOOKUP(A81,'qx''ler'!$1:$1048576,MATCH(komutasyon_tablo!$A$3,'qx''ler'!$1:$1,0),FALSE)</f>
        <v>#N/A</v>
      </c>
      <c r="C81" s="21" t="e">
        <f t="shared" si="7"/>
        <v>#N/A</v>
      </c>
      <c r="D81" s="22" t="e">
        <f t="shared" si="11"/>
        <v>#N/A</v>
      </c>
      <c r="E81" s="22" t="e">
        <f t="shared" si="8"/>
        <v>#N/A</v>
      </c>
      <c r="F81" s="23" t="e">
        <f t="shared" si="12"/>
        <v>#N/A</v>
      </c>
      <c r="G81" s="23" t="e">
        <f>SUM(F81:F$127)</f>
        <v>#N/A</v>
      </c>
      <c r="H81" s="23" t="e">
        <f>SUM(G81:$G$127)</f>
        <v>#N/A</v>
      </c>
      <c r="I81" s="23" t="e">
        <f t="shared" si="13"/>
        <v>#N/A</v>
      </c>
      <c r="J81" s="23" t="e">
        <f>SUM(I81:I$127)</f>
        <v>#N/A</v>
      </c>
      <c r="K81" s="23" t="e">
        <f>SUM(J81:J$127)</f>
        <v>#N/A</v>
      </c>
      <c r="L81" s="24" t="e">
        <f t="shared" si="9"/>
        <v>#N/A</v>
      </c>
    </row>
    <row r="82" spans="1:12" x14ac:dyDescent="0.25">
      <c r="A82" s="20">
        <f t="shared" si="10"/>
        <v>76</v>
      </c>
      <c r="B82" s="21" t="e">
        <f>VLOOKUP(A82,'qx''ler'!$1:$1048576,MATCH(komutasyon_tablo!$A$3,'qx''ler'!$1:$1,0),FALSE)</f>
        <v>#N/A</v>
      </c>
      <c r="C82" s="21" t="e">
        <f t="shared" si="7"/>
        <v>#N/A</v>
      </c>
      <c r="D82" s="22" t="e">
        <f t="shared" si="11"/>
        <v>#N/A</v>
      </c>
      <c r="E82" s="22" t="e">
        <f t="shared" si="8"/>
        <v>#N/A</v>
      </c>
      <c r="F82" s="23" t="e">
        <f t="shared" si="12"/>
        <v>#N/A</v>
      </c>
      <c r="G82" s="23" t="e">
        <f>SUM(F82:F$127)</f>
        <v>#N/A</v>
      </c>
      <c r="H82" s="23" t="e">
        <f>SUM(G82:$G$127)</f>
        <v>#N/A</v>
      </c>
      <c r="I82" s="23" t="e">
        <f t="shared" si="13"/>
        <v>#N/A</v>
      </c>
      <c r="J82" s="23" t="e">
        <f>SUM(I82:I$127)</f>
        <v>#N/A</v>
      </c>
      <c r="K82" s="23" t="e">
        <f>SUM(J82:J$127)</f>
        <v>#N/A</v>
      </c>
      <c r="L82" s="24" t="e">
        <f t="shared" si="9"/>
        <v>#N/A</v>
      </c>
    </row>
    <row r="83" spans="1:12" x14ac:dyDescent="0.25">
      <c r="A83" s="20">
        <f t="shared" si="10"/>
        <v>77</v>
      </c>
      <c r="B83" s="21" t="e">
        <f>VLOOKUP(A83,'qx''ler'!$1:$1048576,MATCH(komutasyon_tablo!$A$3,'qx''ler'!$1:$1,0),FALSE)</f>
        <v>#N/A</v>
      </c>
      <c r="C83" s="21" t="e">
        <f t="shared" si="7"/>
        <v>#N/A</v>
      </c>
      <c r="D83" s="22" t="e">
        <f t="shared" si="11"/>
        <v>#N/A</v>
      </c>
      <c r="E83" s="22" t="e">
        <f t="shared" si="8"/>
        <v>#N/A</v>
      </c>
      <c r="F83" s="23" t="e">
        <f t="shared" si="12"/>
        <v>#N/A</v>
      </c>
      <c r="G83" s="23" t="e">
        <f>SUM(F83:F$127)</f>
        <v>#N/A</v>
      </c>
      <c r="H83" s="23" t="e">
        <f>SUM(G83:$G$127)</f>
        <v>#N/A</v>
      </c>
      <c r="I83" s="23" t="e">
        <f t="shared" si="13"/>
        <v>#N/A</v>
      </c>
      <c r="J83" s="23" t="e">
        <f>SUM(I83:I$127)</f>
        <v>#N/A</v>
      </c>
      <c r="K83" s="23" t="e">
        <f>SUM(J83:J$127)</f>
        <v>#N/A</v>
      </c>
      <c r="L83" s="24" t="e">
        <f t="shared" si="9"/>
        <v>#N/A</v>
      </c>
    </row>
    <row r="84" spans="1:12" x14ac:dyDescent="0.25">
      <c r="A84" s="20">
        <f t="shared" si="10"/>
        <v>78</v>
      </c>
      <c r="B84" s="21" t="e">
        <f>VLOOKUP(A84,'qx''ler'!$1:$1048576,MATCH(komutasyon_tablo!$A$3,'qx''ler'!$1:$1,0),FALSE)</f>
        <v>#N/A</v>
      </c>
      <c r="C84" s="21" t="e">
        <f t="shared" si="7"/>
        <v>#N/A</v>
      </c>
      <c r="D84" s="22" t="e">
        <f t="shared" si="11"/>
        <v>#N/A</v>
      </c>
      <c r="E84" s="22" t="e">
        <f t="shared" si="8"/>
        <v>#N/A</v>
      </c>
      <c r="F84" s="23" t="e">
        <f t="shared" si="12"/>
        <v>#N/A</v>
      </c>
      <c r="G84" s="23" t="e">
        <f>SUM(F84:F$127)</f>
        <v>#N/A</v>
      </c>
      <c r="H84" s="23" t="e">
        <f>SUM(G84:$G$127)</f>
        <v>#N/A</v>
      </c>
      <c r="I84" s="23" t="e">
        <f t="shared" si="13"/>
        <v>#N/A</v>
      </c>
      <c r="J84" s="23" t="e">
        <f>SUM(I84:I$127)</f>
        <v>#N/A</v>
      </c>
      <c r="K84" s="23" t="e">
        <f>SUM(J84:J$127)</f>
        <v>#N/A</v>
      </c>
      <c r="L84" s="24" t="e">
        <f t="shared" si="9"/>
        <v>#N/A</v>
      </c>
    </row>
    <row r="85" spans="1:12" x14ac:dyDescent="0.25">
      <c r="A85" s="20">
        <f t="shared" si="10"/>
        <v>79</v>
      </c>
      <c r="B85" s="21" t="e">
        <f>VLOOKUP(A85,'qx''ler'!$1:$1048576,MATCH(komutasyon_tablo!$A$3,'qx''ler'!$1:$1,0),FALSE)</f>
        <v>#N/A</v>
      </c>
      <c r="C85" s="21" t="e">
        <f t="shared" si="7"/>
        <v>#N/A</v>
      </c>
      <c r="D85" s="22" t="e">
        <f t="shared" si="11"/>
        <v>#N/A</v>
      </c>
      <c r="E85" s="22" t="e">
        <f t="shared" si="8"/>
        <v>#N/A</v>
      </c>
      <c r="F85" s="23" t="e">
        <f t="shared" si="12"/>
        <v>#N/A</v>
      </c>
      <c r="G85" s="23" t="e">
        <f>SUM(F85:F$127)</f>
        <v>#N/A</v>
      </c>
      <c r="H85" s="23" t="e">
        <f>SUM(G85:$G$127)</f>
        <v>#N/A</v>
      </c>
      <c r="I85" s="23" t="e">
        <f t="shared" si="13"/>
        <v>#N/A</v>
      </c>
      <c r="J85" s="23" t="e">
        <f>SUM(I85:I$127)</f>
        <v>#N/A</v>
      </c>
      <c r="K85" s="23" t="e">
        <f>SUM(J85:J$127)</f>
        <v>#N/A</v>
      </c>
      <c r="L85" s="24" t="e">
        <f t="shared" si="9"/>
        <v>#N/A</v>
      </c>
    </row>
    <row r="86" spans="1:12" x14ac:dyDescent="0.25">
      <c r="A86" s="20">
        <f t="shared" si="10"/>
        <v>80</v>
      </c>
      <c r="B86" s="21" t="e">
        <f>VLOOKUP(A86,'qx''ler'!$1:$1048576,MATCH(komutasyon_tablo!$A$3,'qx''ler'!$1:$1,0),FALSE)</f>
        <v>#N/A</v>
      </c>
      <c r="C86" s="21" t="e">
        <f t="shared" si="7"/>
        <v>#N/A</v>
      </c>
      <c r="D86" s="22" t="e">
        <f t="shared" si="11"/>
        <v>#N/A</v>
      </c>
      <c r="E86" s="22" t="e">
        <f t="shared" si="8"/>
        <v>#N/A</v>
      </c>
      <c r="F86" s="23" t="e">
        <f t="shared" si="12"/>
        <v>#N/A</v>
      </c>
      <c r="G86" s="23" t="e">
        <f>SUM(F86:F$127)</f>
        <v>#N/A</v>
      </c>
      <c r="H86" s="23" t="e">
        <f>SUM(G86:$G$127)</f>
        <v>#N/A</v>
      </c>
      <c r="I86" s="23" t="e">
        <f t="shared" si="13"/>
        <v>#N/A</v>
      </c>
      <c r="J86" s="23" t="e">
        <f>SUM(I86:I$127)</f>
        <v>#N/A</v>
      </c>
      <c r="K86" s="23" t="e">
        <f>SUM(J86:J$127)</f>
        <v>#N/A</v>
      </c>
      <c r="L86" s="24" t="e">
        <f t="shared" si="9"/>
        <v>#N/A</v>
      </c>
    </row>
    <row r="87" spans="1:12" x14ac:dyDescent="0.25">
      <c r="A87" s="20">
        <f t="shared" si="10"/>
        <v>81</v>
      </c>
      <c r="B87" s="21" t="e">
        <f>VLOOKUP(A87,'qx''ler'!$1:$1048576,MATCH(komutasyon_tablo!$A$3,'qx''ler'!$1:$1,0),FALSE)</f>
        <v>#N/A</v>
      </c>
      <c r="C87" s="21" t="e">
        <f t="shared" si="7"/>
        <v>#N/A</v>
      </c>
      <c r="D87" s="22" t="e">
        <f t="shared" si="11"/>
        <v>#N/A</v>
      </c>
      <c r="E87" s="22" t="e">
        <f t="shared" si="8"/>
        <v>#N/A</v>
      </c>
      <c r="F87" s="23" t="e">
        <f t="shared" si="12"/>
        <v>#N/A</v>
      </c>
      <c r="G87" s="23" t="e">
        <f>SUM(F87:F$127)</f>
        <v>#N/A</v>
      </c>
      <c r="H87" s="23" t="e">
        <f>SUM(G87:$G$127)</f>
        <v>#N/A</v>
      </c>
      <c r="I87" s="23" t="e">
        <f t="shared" si="13"/>
        <v>#N/A</v>
      </c>
      <c r="J87" s="23" t="e">
        <f>SUM(I87:I$127)</f>
        <v>#N/A</v>
      </c>
      <c r="K87" s="23" t="e">
        <f>SUM(J87:J$127)</f>
        <v>#N/A</v>
      </c>
      <c r="L87" s="24" t="e">
        <f t="shared" si="9"/>
        <v>#N/A</v>
      </c>
    </row>
    <row r="88" spans="1:12" x14ac:dyDescent="0.25">
      <c r="A88" s="20">
        <f t="shared" si="10"/>
        <v>82</v>
      </c>
      <c r="B88" s="21" t="e">
        <f>VLOOKUP(A88,'qx''ler'!$1:$1048576,MATCH(komutasyon_tablo!$A$3,'qx''ler'!$1:$1,0),FALSE)</f>
        <v>#N/A</v>
      </c>
      <c r="C88" s="21" t="e">
        <f t="shared" si="7"/>
        <v>#N/A</v>
      </c>
      <c r="D88" s="22" t="e">
        <f t="shared" si="11"/>
        <v>#N/A</v>
      </c>
      <c r="E88" s="22" t="e">
        <f t="shared" si="8"/>
        <v>#N/A</v>
      </c>
      <c r="F88" s="23" t="e">
        <f t="shared" si="12"/>
        <v>#N/A</v>
      </c>
      <c r="G88" s="23" t="e">
        <f>SUM(F88:F$127)</f>
        <v>#N/A</v>
      </c>
      <c r="H88" s="23" t="e">
        <f>SUM(G88:$G$127)</f>
        <v>#N/A</v>
      </c>
      <c r="I88" s="23" t="e">
        <f t="shared" si="13"/>
        <v>#N/A</v>
      </c>
      <c r="J88" s="23" t="e">
        <f>SUM(I88:I$127)</f>
        <v>#N/A</v>
      </c>
      <c r="K88" s="23" t="e">
        <f>SUM(J88:J$127)</f>
        <v>#N/A</v>
      </c>
      <c r="L88" s="24" t="e">
        <f t="shared" si="9"/>
        <v>#N/A</v>
      </c>
    </row>
    <row r="89" spans="1:12" x14ac:dyDescent="0.25">
      <c r="A89" s="20">
        <f t="shared" si="10"/>
        <v>83</v>
      </c>
      <c r="B89" s="21" t="e">
        <f>VLOOKUP(A89,'qx''ler'!$1:$1048576,MATCH(komutasyon_tablo!$A$3,'qx''ler'!$1:$1,0),FALSE)</f>
        <v>#N/A</v>
      </c>
      <c r="C89" s="21" t="e">
        <f t="shared" si="7"/>
        <v>#N/A</v>
      </c>
      <c r="D89" s="22" t="e">
        <f t="shared" si="11"/>
        <v>#N/A</v>
      </c>
      <c r="E89" s="22" t="e">
        <f t="shared" si="8"/>
        <v>#N/A</v>
      </c>
      <c r="F89" s="23" t="e">
        <f t="shared" si="12"/>
        <v>#N/A</v>
      </c>
      <c r="G89" s="23" t="e">
        <f>SUM(F89:F$127)</f>
        <v>#N/A</v>
      </c>
      <c r="H89" s="23" t="e">
        <f>SUM(G89:$G$127)</f>
        <v>#N/A</v>
      </c>
      <c r="I89" s="23" t="e">
        <f t="shared" si="13"/>
        <v>#N/A</v>
      </c>
      <c r="J89" s="23" t="e">
        <f>SUM(I89:I$127)</f>
        <v>#N/A</v>
      </c>
      <c r="K89" s="23" t="e">
        <f>SUM(J89:J$127)</f>
        <v>#N/A</v>
      </c>
      <c r="L89" s="24" t="e">
        <f t="shared" si="9"/>
        <v>#N/A</v>
      </c>
    </row>
    <row r="90" spans="1:12" x14ac:dyDescent="0.25">
      <c r="A90" s="20">
        <f t="shared" si="10"/>
        <v>84</v>
      </c>
      <c r="B90" s="21" t="e">
        <f>VLOOKUP(A90,'qx''ler'!$1:$1048576,MATCH(komutasyon_tablo!$A$3,'qx''ler'!$1:$1,0),FALSE)</f>
        <v>#N/A</v>
      </c>
      <c r="C90" s="21" t="e">
        <f t="shared" si="7"/>
        <v>#N/A</v>
      </c>
      <c r="D90" s="22" t="e">
        <f t="shared" si="11"/>
        <v>#N/A</v>
      </c>
      <c r="E90" s="22" t="e">
        <f t="shared" si="8"/>
        <v>#N/A</v>
      </c>
      <c r="F90" s="23" t="e">
        <f t="shared" si="12"/>
        <v>#N/A</v>
      </c>
      <c r="G90" s="23" t="e">
        <f>SUM(F90:F$127)</f>
        <v>#N/A</v>
      </c>
      <c r="H90" s="23" t="e">
        <f>SUM(G90:$G$127)</f>
        <v>#N/A</v>
      </c>
      <c r="I90" s="23" t="e">
        <f t="shared" si="13"/>
        <v>#N/A</v>
      </c>
      <c r="J90" s="23" t="e">
        <f>SUM(I90:I$127)</f>
        <v>#N/A</v>
      </c>
      <c r="K90" s="23" t="e">
        <f>SUM(J90:J$127)</f>
        <v>#N/A</v>
      </c>
      <c r="L90" s="24" t="e">
        <f t="shared" si="9"/>
        <v>#N/A</v>
      </c>
    </row>
    <row r="91" spans="1:12" x14ac:dyDescent="0.25">
      <c r="A91" s="20">
        <f t="shared" si="10"/>
        <v>85</v>
      </c>
      <c r="B91" s="21" t="e">
        <f>VLOOKUP(A91,'qx''ler'!$1:$1048576,MATCH(komutasyon_tablo!$A$3,'qx''ler'!$1:$1,0),FALSE)</f>
        <v>#N/A</v>
      </c>
      <c r="C91" s="21" t="e">
        <f t="shared" si="7"/>
        <v>#N/A</v>
      </c>
      <c r="D91" s="22" t="e">
        <f t="shared" si="11"/>
        <v>#N/A</v>
      </c>
      <c r="E91" s="22" t="e">
        <f t="shared" si="8"/>
        <v>#N/A</v>
      </c>
      <c r="F91" s="23" t="e">
        <f t="shared" si="12"/>
        <v>#N/A</v>
      </c>
      <c r="G91" s="23" t="e">
        <f>SUM(F91:F$127)</f>
        <v>#N/A</v>
      </c>
      <c r="H91" s="23" t="e">
        <f>SUM(G91:$G$127)</f>
        <v>#N/A</v>
      </c>
      <c r="I91" s="23" t="e">
        <f t="shared" si="13"/>
        <v>#N/A</v>
      </c>
      <c r="J91" s="23" t="e">
        <f>SUM(I91:I$127)</f>
        <v>#N/A</v>
      </c>
      <c r="K91" s="23" t="e">
        <f>SUM(J91:J$127)</f>
        <v>#N/A</v>
      </c>
      <c r="L91" s="24" t="e">
        <f t="shared" si="9"/>
        <v>#N/A</v>
      </c>
    </row>
    <row r="92" spans="1:12" x14ac:dyDescent="0.25">
      <c r="A92" s="20">
        <f t="shared" si="10"/>
        <v>86</v>
      </c>
      <c r="B92" s="21" t="e">
        <f>VLOOKUP(A92,'qx''ler'!$1:$1048576,MATCH(komutasyon_tablo!$A$3,'qx''ler'!$1:$1,0),FALSE)</f>
        <v>#N/A</v>
      </c>
      <c r="C92" s="21" t="e">
        <f t="shared" si="7"/>
        <v>#N/A</v>
      </c>
      <c r="D92" s="22" t="e">
        <f t="shared" si="11"/>
        <v>#N/A</v>
      </c>
      <c r="E92" s="22" t="e">
        <f t="shared" si="8"/>
        <v>#N/A</v>
      </c>
      <c r="F92" s="23" t="e">
        <f t="shared" si="12"/>
        <v>#N/A</v>
      </c>
      <c r="G92" s="23" t="e">
        <f>SUM(F92:F$127)</f>
        <v>#N/A</v>
      </c>
      <c r="H92" s="23" t="e">
        <f>SUM(G92:$G$127)</f>
        <v>#N/A</v>
      </c>
      <c r="I92" s="23" t="e">
        <f t="shared" si="13"/>
        <v>#N/A</v>
      </c>
      <c r="J92" s="23" t="e">
        <f>SUM(I92:I$127)</f>
        <v>#N/A</v>
      </c>
      <c r="K92" s="23" t="e">
        <f>SUM(J92:J$127)</f>
        <v>#N/A</v>
      </c>
      <c r="L92" s="24" t="e">
        <f t="shared" si="9"/>
        <v>#N/A</v>
      </c>
    </row>
    <row r="93" spans="1:12" x14ac:dyDescent="0.25">
      <c r="A93" s="20">
        <f t="shared" si="10"/>
        <v>87</v>
      </c>
      <c r="B93" s="21" t="e">
        <f>VLOOKUP(A93,'qx''ler'!$1:$1048576,MATCH(komutasyon_tablo!$A$3,'qx''ler'!$1:$1,0),FALSE)</f>
        <v>#N/A</v>
      </c>
      <c r="C93" s="21" t="e">
        <f t="shared" si="7"/>
        <v>#N/A</v>
      </c>
      <c r="D93" s="22" t="e">
        <f t="shared" si="11"/>
        <v>#N/A</v>
      </c>
      <c r="E93" s="22" t="e">
        <f t="shared" si="8"/>
        <v>#N/A</v>
      </c>
      <c r="F93" s="23" t="e">
        <f t="shared" si="12"/>
        <v>#N/A</v>
      </c>
      <c r="G93" s="23" t="e">
        <f>SUM(F93:F$127)</f>
        <v>#N/A</v>
      </c>
      <c r="H93" s="23" t="e">
        <f>SUM(G93:$G$127)</f>
        <v>#N/A</v>
      </c>
      <c r="I93" s="23" t="e">
        <f t="shared" si="13"/>
        <v>#N/A</v>
      </c>
      <c r="J93" s="23" t="e">
        <f>SUM(I93:I$127)</f>
        <v>#N/A</v>
      </c>
      <c r="K93" s="23" t="e">
        <f>SUM(J93:J$127)</f>
        <v>#N/A</v>
      </c>
      <c r="L93" s="24" t="e">
        <f t="shared" si="9"/>
        <v>#N/A</v>
      </c>
    </row>
    <row r="94" spans="1:12" x14ac:dyDescent="0.25">
      <c r="A94" s="20">
        <f t="shared" si="10"/>
        <v>88</v>
      </c>
      <c r="B94" s="21" t="e">
        <f>VLOOKUP(A94,'qx''ler'!$1:$1048576,MATCH(komutasyon_tablo!$A$3,'qx''ler'!$1:$1,0),FALSE)</f>
        <v>#N/A</v>
      </c>
      <c r="C94" s="21" t="e">
        <f t="shared" si="7"/>
        <v>#N/A</v>
      </c>
      <c r="D94" s="22" t="e">
        <f t="shared" si="11"/>
        <v>#N/A</v>
      </c>
      <c r="E94" s="22" t="e">
        <f t="shared" si="8"/>
        <v>#N/A</v>
      </c>
      <c r="F94" s="23" t="e">
        <f t="shared" si="12"/>
        <v>#N/A</v>
      </c>
      <c r="G94" s="23" t="e">
        <f>SUM(F94:F$127)</f>
        <v>#N/A</v>
      </c>
      <c r="H94" s="23" t="e">
        <f>SUM(G94:$G$127)</f>
        <v>#N/A</v>
      </c>
      <c r="I94" s="23" t="e">
        <f t="shared" si="13"/>
        <v>#N/A</v>
      </c>
      <c r="J94" s="23" t="e">
        <f>SUM(I94:I$127)</f>
        <v>#N/A</v>
      </c>
      <c r="K94" s="23" t="e">
        <f>SUM(J94:J$127)</f>
        <v>#N/A</v>
      </c>
      <c r="L94" s="24" t="e">
        <f t="shared" si="9"/>
        <v>#N/A</v>
      </c>
    </row>
    <row r="95" spans="1:12" x14ac:dyDescent="0.25">
      <c r="A95" s="20">
        <f t="shared" si="10"/>
        <v>89</v>
      </c>
      <c r="B95" s="21" t="e">
        <f>VLOOKUP(A95,'qx''ler'!$1:$1048576,MATCH(komutasyon_tablo!$A$3,'qx''ler'!$1:$1,0),FALSE)</f>
        <v>#N/A</v>
      </c>
      <c r="C95" s="21" t="e">
        <f t="shared" si="7"/>
        <v>#N/A</v>
      </c>
      <c r="D95" s="22" t="e">
        <f t="shared" si="11"/>
        <v>#N/A</v>
      </c>
      <c r="E95" s="22" t="e">
        <f t="shared" si="8"/>
        <v>#N/A</v>
      </c>
      <c r="F95" s="23" t="e">
        <f t="shared" si="12"/>
        <v>#N/A</v>
      </c>
      <c r="G95" s="23" t="e">
        <f>SUM(F95:F$127)</f>
        <v>#N/A</v>
      </c>
      <c r="H95" s="23" t="e">
        <f>SUM(G95:$G$127)</f>
        <v>#N/A</v>
      </c>
      <c r="I95" s="23" t="e">
        <f t="shared" si="13"/>
        <v>#N/A</v>
      </c>
      <c r="J95" s="23" t="e">
        <f>SUM(I95:I$127)</f>
        <v>#N/A</v>
      </c>
      <c r="K95" s="23" t="e">
        <f>SUM(J95:J$127)</f>
        <v>#N/A</v>
      </c>
      <c r="L95" s="24" t="e">
        <f t="shared" si="9"/>
        <v>#N/A</v>
      </c>
    </row>
    <row r="96" spans="1:12" x14ac:dyDescent="0.25">
      <c r="A96" s="20">
        <f t="shared" si="10"/>
        <v>90</v>
      </c>
      <c r="B96" s="21" t="e">
        <f>VLOOKUP(A96,'qx''ler'!$1:$1048576,MATCH(komutasyon_tablo!$A$3,'qx''ler'!$1:$1,0),FALSE)</f>
        <v>#N/A</v>
      </c>
      <c r="C96" s="21" t="e">
        <f t="shared" si="7"/>
        <v>#N/A</v>
      </c>
      <c r="D96" s="22" t="e">
        <f t="shared" si="11"/>
        <v>#N/A</v>
      </c>
      <c r="E96" s="22" t="e">
        <f t="shared" si="8"/>
        <v>#N/A</v>
      </c>
      <c r="F96" s="23" t="e">
        <f t="shared" si="12"/>
        <v>#N/A</v>
      </c>
      <c r="G96" s="23" t="e">
        <f>SUM(F96:F$127)</f>
        <v>#N/A</v>
      </c>
      <c r="H96" s="23" t="e">
        <f>SUM(G96:$G$127)</f>
        <v>#N/A</v>
      </c>
      <c r="I96" s="23" t="e">
        <f t="shared" si="13"/>
        <v>#N/A</v>
      </c>
      <c r="J96" s="23" t="e">
        <f>SUM(I96:I$127)</f>
        <v>#N/A</v>
      </c>
      <c r="K96" s="23" t="e">
        <f>SUM(J96:J$127)</f>
        <v>#N/A</v>
      </c>
      <c r="L96" s="24" t="e">
        <f t="shared" si="9"/>
        <v>#N/A</v>
      </c>
    </row>
    <row r="97" spans="1:12" x14ac:dyDescent="0.25">
      <c r="A97" s="20">
        <f t="shared" si="10"/>
        <v>91</v>
      </c>
      <c r="B97" s="21" t="e">
        <f>VLOOKUP(A97,'qx''ler'!$1:$1048576,MATCH(komutasyon_tablo!$A$3,'qx''ler'!$1:$1,0),FALSE)</f>
        <v>#N/A</v>
      </c>
      <c r="C97" s="21" t="e">
        <f t="shared" si="7"/>
        <v>#N/A</v>
      </c>
      <c r="D97" s="22" t="e">
        <f t="shared" si="11"/>
        <v>#N/A</v>
      </c>
      <c r="E97" s="22" t="e">
        <f t="shared" si="8"/>
        <v>#N/A</v>
      </c>
      <c r="F97" s="23" t="e">
        <f t="shared" si="12"/>
        <v>#N/A</v>
      </c>
      <c r="G97" s="23" t="e">
        <f>SUM(F97:F$127)</f>
        <v>#N/A</v>
      </c>
      <c r="H97" s="23" t="e">
        <f>SUM(G97:$G$127)</f>
        <v>#N/A</v>
      </c>
      <c r="I97" s="23" t="e">
        <f t="shared" si="13"/>
        <v>#N/A</v>
      </c>
      <c r="J97" s="23" t="e">
        <f>SUM(I97:I$127)</f>
        <v>#N/A</v>
      </c>
      <c r="K97" s="23" t="e">
        <f>SUM(J97:J$127)</f>
        <v>#N/A</v>
      </c>
      <c r="L97" s="24" t="e">
        <f t="shared" si="9"/>
        <v>#N/A</v>
      </c>
    </row>
    <row r="98" spans="1:12" x14ac:dyDescent="0.25">
      <c r="A98" s="20">
        <f t="shared" si="10"/>
        <v>92</v>
      </c>
      <c r="B98" s="21" t="e">
        <f>VLOOKUP(A98,'qx''ler'!$1:$1048576,MATCH(komutasyon_tablo!$A$3,'qx''ler'!$1:$1,0),FALSE)</f>
        <v>#N/A</v>
      </c>
      <c r="C98" s="21" t="e">
        <f t="shared" si="7"/>
        <v>#N/A</v>
      </c>
      <c r="D98" s="22" t="e">
        <f t="shared" si="11"/>
        <v>#N/A</v>
      </c>
      <c r="E98" s="22" t="e">
        <f t="shared" si="8"/>
        <v>#N/A</v>
      </c>
      <c r="F98" s="23" t="e">
        <f t="shared" si="12"/>
        <v>#N/A</v>
      </c>
      <c r="G98" s="23" t="e">
        <f>SUM(F98:F$127)</f>
        <v>#N/A</v>
      </c>
      <c r="H98" s="23" t="e">
        <f>SUM(G98:$G$127)</f>
        <v>#N/A</v>
      </c>
      <c r="I98" s="23" t="e">
        <f t="shared" si="13"/>
        <v>#N/A</v>
      </c>
      <c r="J98" s="23" t="e">
        <f>SUM(I98:I$127)</f>
        <v>#N/A</v>
      </c>
      <c r="K98" s="23" t="e">
        <f>SUM(J98:J$127)</f>
        <v>#N/A</v>
      </c>
      <c r="L98" s="24" t="e">
        <f t="shared" si="9"/>
        <v>#N/A</v>
      </c>
    </row>
    <row r="99" spans="1:12" x14ac:dyDescent="0.25">
      <c r="A99" s="20">
        <f t="shared" si="10"/>
        <v>93</v>
      </c>
      <c r="B99" s="21" t="e">
        <f>VLOOKUP(A99,'qx''ler'!$1:$1048576,MATCH(komutasyon_tablo!$A$3,'qx''ler'!$1:$1,0),FALSE)</f>
        <v>#N/A</v>
      </c>
      <c r="C99" s="21" t="e">
        <f t="shared" si="7"/>
        <v>#N/A</v>
      </c>
      <c r="D99" s="22" t="e">
        <f t="shared" si="11"/>
        <v>#N/A</v>
      </c>
      <c r="E99" s="22" t="e">
        <f t="shared" si="8"/>
        <v>#N/A</v>
      </c>
      <c r="F99" s="23" t="e">
        <f t="shared" si="12"/>
        <v>#N/A</v>
      </c>
      <c r="G99" s="23" t="e">
        <f>SUM(F99:F$127)</f>
        <v>#N/A</v>
      </c>
      <c r="H99" s="23" t="e">
        <f>SUM(G99:$G$127)</f>
        <v>#N/A</v>
      </c>
      <c r="I99" s="23" t="e">
        <f t="shared" si="13"/>
        <v>#N/A</v>
      </c>
      <c r="J99" s="23" t="e">
        <f>SUM(I99:I$127)</f>
        <v>#N/A</v>
      </c>
      <c r="K99" s="23" t="e">
        <f>SUM(J99:J$127)</f>
        <v>#N/A</v>
      </c>
      <c r="L99" s="24" t="e">
        <f t="shared" si="9"/>
        <v>#N/A</v>
      </c>
    </row>
    <row r="100" spans="1:12" x14ac:dyDescent="0.25">
      <c r="A100" s="20">
        <f t="shared" si="10"/>
        <v>94</v>
      </c>
      <c r="B100" s="21" t="e">
        <f>VLOOKUP(A100,'qx''ler'!$1:$1048576,MATCH(komutasyon_tablo!$A$3,'qx''ler'!$1:$1,0),FALSE)</f>
        <v>#N/A</v>
      </c>
      <c r="C100" s="21" t="e">
        <f t="shared" si="7"/>
        <v>#N/A</v>
      </c>
      <c r="D100" s="22" t="e">
        <f t="shared" si="11"/>
        <v>#N/A</v>
      </c>
      <c r="E100" s="22" t="e">
        <f t="shared" si="8"/>
        <v>#N/A</v>
      </c>
      <c r="F100" s="23" t="e">
        <f t="shared" si="12"/>
        <v>#N/A</v>
      </c>
      <c r="G100" s="23" t="e">
        <f>SUM(F100:F$127)</f>
        <v>#N/A</v>
      </c>
      <c r="H100" s="23" t="e">
        <f>SUM(G100:$G$127)</f>
        <v>#N/A</v>
      </c>
      <c r="I100" s="23" t="e">
        <f t="shared" si="13"/>
        <v>#N/A</v>
      </c>
      <c r="J100" s="23" t="e">
        <f>SUM(I100:I$127)</f>
        <v>#N/A</v>
      </c>
      <c r="K100" s="23" t="e">
        <f>SUM(J100:J$127)</f>
        <v>#N/A</v>
      </c>
      <c r="L100" s="24" t="e">
        <f t="shared" si="9"/>
        <v>#N/A</v>
      </c>
    </row>
    <row r="101" spans="1:12" x14ac:dyDescent="0.25">
      <c r="A101" s="20">
        <f t="shared" si="10"/>
        <v>95</v>
      </c>
      <c r="B101" s="21" t="e">
        <f>VLOOKUP(A101,'qx''ler'!$1:$1048576,MATCH(komutasyon_tablo!$A$3,'qx''ler'!$1:$1,0),FALSE)</f>
        <v>#N/A</v>
      </c>
      <c r="C101" s="21" t="e">
        <f t="shared" si="7"/>
        <v>#N/A</v>
      </c>
      <c r="D101" s="22" t="e">
        <f t="shared" si="11"/>
        <v>#N/A</v>
      </c>
      <c r="E101" s="22" t="e">
        <f t="shared" si="8"/>
        <v>#N/A</v>
      </c>
      <c r="F101" s="23" t="e">
        <f t="shared" si="12"/>
        <v>#N/A</v>
      </c>
      <c r="G101" s="23" t="e">
        <f>SUM(F101:F$127)</f>
        <v>#N/A</v>
      </c>
      <c r="H101" s="23" t="e">
        <f>SUM(G101:$G$127)</f>
        <v>#N/A</v>
      </c>
      <c r="I101" s="23" t="e">
        <f t="shared" si="13"/>
        <v>#N/A</v>
      </c>
      <c r="J101" s="23" t="e">
        <f>SUM(I101:I$127)</f>
        <v>#N/A</v>
      </c>
      <c r="K101" s="23" t="e">
        <f>SUM(J101:J$127)</f>
        <v>#N/A</v>
      </c>
      <c r="L101" s="24" t="e">
        <f t="shared" si="9"/>
        <v>#N/A</v>
      </c>
    </row>
    <row r="102" spans="1:12" x14ac:dyDescent="0.25">
      <c r="A102" s="20">
        <f t="shared" si="10"/>
        <v>96</v>
      </c>
      <c r="B102" s="21" t="e">
        <f>VLOOKUP(A102,'qx''ler'!$1:$1048576,MATCH(komutasyon_tablo!$A$3,'qx''ler'!$1:$1,0),FALSE)</f>
        <v>#N/A</v>
      </c>
      <c r="C102" s="21" t="e">
        <f>1-B102</f>
        <v>#N/A</v>
      </c>
      <c r="D102" s="22" t="e">
        <f t="shared" si="11"/>
        <v>#N/A</v>
      </c>
      <c r="E102" s="22" t="e">
        <f>D102*B102</f>
        <v>#N/A</v>
      </c>
      <c r="F102" s="23" t="e">
        <f t="shared" si="12"/>
        <v>#N/A</v>
      </c>
      <c r="G102" s="23" t="e">
        <f>SUM(F102:F$127)</f>
        <v>#N/A</v>
      </c>
      <c r="H102" s="23" t="e">
        <f>SUM(G102:$G$127)</f>
        <v>#N/A</v>
      </c>
      <c r="I102" s="23" t="e">
        <f t="shared" si="13"/>
        <v>#N/A</v>
      </c>
      <c r="J102" s="23" t="e">
        <f>SUM(I102:I$127)</f>
        <v>#N/A</v>
      </c>
      <c r="K102" s="23" t="e">
        <f>SUM(J102:J$127)</f>
        <v>#N/A</v>
      </c>
      <c r="L102" s="24" t="e">
        <f t="shared" si="9"/>
        <v>#N/A</v>
      </c>
    </row>
    <row r="103" spans="1:12" x14ac:dyDescent="0.25">
      <c r="A103" s="20">
        <f t="shared" si="10"/>
        <v>97</v>
      </c>
      <c r="B103" s="21" t="e">
        <f>VLOOKUP(A103,'qx''ler'!$1:$1048576,MATCH(komutasyon_tablo!$A$3,'qx''ler'!$1:$1,0),FALSE)</f>
        <v>#N/A</v>
      </c>
      <c r="C103" s="21" t="e">
        <f>1-B103</f>
        <v>#N/A</v>
      </c>
      <c r="D103" s="22" t="e">
        <f t="shared" si="11"/>
        <v>#N/A</v>
      </c>
      <c r="E103" s="22" t="e">
        <f>D103*B103</f>
        <v>#N/A</v>
      </c>
      <c r="F103" s="23" t="e">
        <f t="shared" si="12"/>
        <v>#N/A</v>
      </c>
      <c r="G103" s="23" t="e">
        <f>SUM(F103:F$127)</f>
        <v>#N/A</v>
      </c>
      <c r="H103" s="23" t="e">
        <f>SUM(G103:$G$127)</f>
        <v>#N/A</v>
      </c>
      <c r="I103" s="23" t="e">
        <f t="shared" si="13"/>
        <v>#N/A</v>
      </c>
      <c r="J103" s="23" t="e">
        <f>SUM(I103:I$127)</f>
        <v>#N/A</v>
      </c>
      <c r="K103" s="23" t="e">
        <f>SUM(J103:J$127)</f>
        <v>#N/A</v>
      </c>
      <c r="L103" s="24" t="e">
        <f t="shared" si="9"/>
        <v>#N/A</v>
      </c>
    </row>
    <row r="104" spans="1:12" x14ac:dyDescent="0.25">
      <c r="A104" s="20">
        <f t="shared" si="10"/>
        <v>98</v>
      </c>
      <c r="B104" s="21" t="e">
        <f>VLOOKUP(A104,'qx''ler'!$1:$1048576,MATCH(komutasyon_tablo!$A$3,'qx''ler'!$1:$1,0),FALSE)</f>
        <v>#N/A</v>
      </c>
      <c r="C104" s="21" t="e">
        <f>1-B104</f>
        <v>#N/A</v>
      </c>
      <c r="D104" s="22" t="e">
        <f t="shared" si="11"/>
        <v>#N/A</v>
      </c>
      <c r="E104" s="22" t="e">
        <f>D104*B104</f>
        <v>#N/A</v>
      </c>
      <c r="F104" s="23" t="e">
        <f t="shared" si="12"/>
        <v>#N/A</v>
      </c>
      <c r="G104" s="23" t="e">
        <f>SUM(F104:F$127)</f>
        <v>#N/A</v>
      </c>
      <c r="H104" s="23" t="e">
        <f>SUM(G104:$G$127)</f>
        <v>#N/A</v>
      </c>
      <c r="I104" s="23" t="e">
        <f t="shared" si="13"/>
        <v>#N/A</v>
      </c>
      <c r="J104" s="23" t="e">
        <f>SUM(I104:I$127)</f>
        <v>#N/A</v>
      </c>
      <c r="K104" s="23" t="e">
        <f>SUM(J104:J$127)</f>
        <v>#N/A</v>
      </c>
      <c r="L104" s="24" t="e">
        <f t="shared" si="9"/>
        <v>#N/A</v>
      </c>
    </row>
    <row r="105" spans="1:12" x14ac:dyDescent="0.25">
      <c r="A105" s="20">
        <f t="shared" si="10"/>
        <v>99</v>
      </c>
      <c r="B105" s="21" t="e">
        <f>VLOOKUP(A105,'qx''ler'!$1:$1048576,MATCH(komutasyon_tablo!$A$3,'qx''ler'!$1:$1,0),FALSE)</f>
        <v>#N/A</v>
      </c>
      <c r="C105" s="21" t="e">
        <f>1-B105</f>
        <v>#N/A</v>
      </c>
      <c r="D105" s="22" t="e">
        <f t="shared" si="11"/>
        <v>#N/A</v>
      </c>
      <c r="E105" s="22" t="e">
        <f>D105*B105</f>
        <v>#N/A</v>
      </c>
      <c r="F105" s="23" t="e">
        <f t="shared" si="12"/>
        <v>#N/A</v>
      </c>
      <c r="G105" s="23" t="e">
        <f>SUM(F105:F$127)</f>
        <v>#N/A</v>
      </c>
      <c r="H105" s="23" t="e">
        <f>SUM(G105:$G$127)</f>
        <v>#N/A</v>
      </c>
      <c r="I105" s="23" t="e">
        <f t="shared" si="13"/>
        <v>#N/A</v>
      </c>
      <c r="J105" s="23" t="e">
        <f>SUM(I105:I$127)</f>
        <v>#N/A</v>
      </c>
      <c r="K105" s="23" t="e">
        <f>SUM(J105:J$127)</f>
        <v>#N/A</v>
      </c>
      <c r="L105" s="24" t="e">
        <f t="shared" si="9"/>
        <v>#N/A</v>
      </c>
    </row>
    <row r="106" spans="1:12" x14ac:dyDescent="0.25">
      <c r="A106" s="20">
        <f t="shared" si="10"/>
        <v>100</v>
      </c>
      <c r="B106" s="21" t="e">
        <f>VLOOKUP(A106,'qx''ler'!$1:$1048576,MATCH(komutasyon_tablo!$A$3,'qx''ler'!$1:$1,0),FALSE)</f>
        <v>#N/A</v>
      </c>
      <c r="C106" s="21" t="e">
        <f t="shared" ref="C106:C127" si="14">1-B106</f>
        <v>#N/A</v>
      </c>
      <c r="D106" s="22" t="e">
        <f t="shared" si="11"/>
        <v>#N/A</v>
      </c>
      <c r="E106" s="22" t="e">
        <f t="shared" ref="E106:E122" si="15">D106*B106</f>
        <v>#N/A</v>
      </c>
      <c r="F106" s="23" t="e">
        <f t="shared" si="12"/>
        <v>#N/A</v>
      </c>
      <c r="G106" s="23" t="e">
        <f>SUM(F106:F$127)</f>
        <v>#N/A</v>
      </c>
      <c r="H106" s="23" t="e">
        <f>SUM(G106:$G$127)</f>
        <v>#N/A</v>
      </c>
      <c r="I106" s="23" t="e">
        <f t="shared" si="13"/>
        <v>#N/A</v>
      </c>
      <c r="J106" s="23" t="e">
        <f>SUM(I106:I$127)</f>
        <v>#N/A</v>
      </c>
      <c r="K106" s="23" t="e">
        <f>SUM(J106:J$127)</f>
        <v>#N/A</v>
      </c>
      <c r="L106" s="24" t="e">
        <f t="shared" si="9"/>
        <v>#N/A</v>
      </c>
    </row>
    <row r="107" spans="1:12" x14ac:dyDescent="0.25">
      <c r="A107" s="20">
        <f t="shared" si="10"/>
        <v>101</v>
      </c>
      <c r="B107" s="21" t="e">
        <f>VLOOKUP(A107,'qx''ler'!$1:$1048576,MATCH(komutasyon_tablo!$A$3,'qx''ler'!$1:$1,0),FALSE)</f>
        <v>#N/A</v>
      </c>
      <c r="C107" s="21" t="e">
        <f t="shared" si="14"/>
        <v>#N/A</v>
      </c>
      <c r="D107" s="22" t="e">
        <f t="shared" si="11"/>
        <v>#N/A</v>
      </c>
      <c r="E107" s="22" t="e">
        <f t="shared" si="15"/>
        <v>#N/A</v>
      </c>
      <c r="F107" s="23" t="e">
        <f t="shared" si="12"/>
        <v>#N/A</v>
      </c>
      <c r="G107" s="23" t="e">
        <f>SUM(F107:F$127)</f>
        <v>#N/A</v>
      </c>
      <c r="H107" s="23" t="e">
        <f>SUM(G107:$G$127)</f>
        <v>#N/A</v>
      </c>
      <c r="I107" s="23" t="e">
        <f t="shared" si="13"/>
        <v>#N/A</v>
      </c>
      <c r="J107" s="23" t="e">
        <f>SUM(I107:I$127)</f>
        <v>#N/A</v>
      </c>
      <c r="K107" s="23" t="e">
        <f>SUM(J107:J$127)</f>
        <v>#N/A</v>
      </c>
      <c r="L107" s="24" t="e">
        <f t="shared" si="9"/>
        <v>#N/A</v>
      </c>
    </row>
    <row r="108" spans="1:12" x14ac:dyDescent="0.25">
      <c r="A108" s="20">
        <f t="shared" si="10"/>
        <v>102</v>
      </c>
      <c r="B108" s="21" t="e">
        <f>VLOOKUP(A108,'qx''ler'!$1:$1048576,MATCH(komutasyon_tablo!$A$3,'qx''ler'!$1:$1,0),FALSE)</f>
        <v>#N/A</v>
      </c>
      <c r="C108" s="21" t="e">
        <f t="shared" si="14"/>
        <v>#N/A</v>
      </c>
      <c r="D108" s="22" t="e">
        <f t="shared" si="11"/>
        <v>#N/A</v>
      </c>
      <c r="E108" s="22" t="e">
        <f t="shared" si="15"/>
        <v>#N/A</v>
      </c>
      <c r="F108" s="23" t="e">
        <f t="shared" si="12"/>
        <v>#N/A</v>
      </c>
      <c r="G108" s="23" t="e">
        <f>SUM(F108:F$127)</f>
        <v>#N/A</v>
      </c>
      <c r="H108" s="23" t="e">
        <f>SUM(G108:$G$127)</f>
        <v>#N/A</v>
      </c>
      <c r="I108" s="23" t="e">
        <f t="shared" si="13"/>
        <v>#N/A</v>
      </c>
      <c r="J108" s="23" t="e">
        <f>SUM(I108:I$127)</f>
        <v>#N/A</v>
      </c>
      <c r="K108" s="23" t="e">
        <f>SUM(J108:J$127)</f>
        <v>#N/A</v>
      </c>
      <c r="L108" s="24" t="e">
        <f t="shared" si="9"/>
        <v>#N/A</v>
      </c>
    </row>
    <row r="109" spans="1:12" x14ac:dyDescent="0.25">
      <c r="A109" s="20">
        <f t="shared" si="10"/>
        <v>103</v>
      </c>
      <c r="B109" s="21" t="e">
        <f>VLOOKUP(A109,'qx''ler'!$1:$1048576,MATCH(komutasyon_tablo!$A$3,'qx''ler'!$1:$1,0),FALSE)</f>
        <v>#N/A</v>
      </c>
      <c r="C109" s="21" t="e">
        <f t="shared" si="14"/>
        <v>#N/A</v>
      </c>
      <c r="D109" s="22" t="e">
        <f t="shared" si="11"/>
        <v>#N/A</v>
      </c>
      <c r="E109" s="22" t="e">
        <f t="shared" si="15"/>
        <v>#N/A</v>
      </c>
      <c r="F109" s="23" t="e">
        <f t="shared" si="12"/>
        <v>#N/A</v>
      </c>
      <c r="G109" s="23" t="e">
        <f>SUM(F109:F$127)</f>
        <v>#N/A</v>
      </c>
      <c r="H109" s="23" t="e">
        <f>SUM(G109:$G$127)</f>
        <v>#N/A</v>
      </c>
      <c r="I109" s="23" t="e">
        <f t="shared" si="13"/>
        <v>#N/A</v>
      </c>
      <c r="J109" s="23" t="e">
        <f>SUM(I109:I$127)</f>
        <v>#N/A</v>
      </c>
      <c r="K109" s="23" t="e">
        <f>SUM(J109:J$127)</f>
        <v>#N/A</v>
      </c>
      <c r="L109" s="24" t="e">
        <f t="shared" si="9"/>
        <v>#N/A</v>
      </c>
    </row>
    <row r="110" spans="1:12" x14ac:dyDescent="0.25">
      <c r="A110" s="20">
        <f t="shared" si="10"/>
        <v>104</v>
      </c>
      <c r="B110" s="21" t="e">
        <f>VLOOKUP(A110,'qx''ler'!$1:$1048576,MATCH(komutasyon_tablo!$A$3,'qx''ler'!$1:$1,0),FALSE)</f>
        <v>#N/A</v>
      </c>
      <c r="C110" s="21" t="e">
        <f t="shared" si="14"/>
        <v>#N/A</v>
      </c>
      <c r="D110" s="22" t="e">
        <f t="shared" si="11"/>
        <v>#N/A</v>
      </c>
      <c r="E110" s="22" t="e">
        <f t="shared" si="15"/>
        <v>#N/A</v>
      </c>
      <c r="F110" s="23" t="e">
        <f t="shared" si="12"/>
        <v>#N/A</v>
      </c>
      <c r="G110" s="23" t="e">
        <f>SUM(F110:F$127)</f>
        <v>#N/A</v>
      </c>
      <c r="H110" s="23" t="e">
        <f>SUM(G110:$G$127)</f>
        <v>#N/A</v>
      </c>
      <c r="I110" s="23" t="e">
        <f t="shared" si="13"/>
        <v>#N/A</v>
      </c>
      <c r="J110" s="23" t="e">
        <f>SUM(I110:I$127)</f>
        <v>#N/A</v>
      </c>
      <c r="K110" s="23" t="e">
        <f>SUM(J110:J$127)</f>
        <v>#N/A</v>
      </c>
      <c r="L110" s="24" t="e">
        <f t="shared" si="9"/>
        <v>#N/A</v>
      </c>
    </row>
    <row r="111" spans="1:12" x14ac:dyDescent="0.25">
      <c r="A111" s="20">
        <f t="shared" si="10"/>
        <v>105</v>
      </c>
      <c r="B111" s="21" t="e">
        <f>VLOOKUP(A111,'qx''ler'!$1:$1048576,MATCH(komutasyon_tablo!$A$3,'qx''ler'!$1:$1,0),FALSE)</f>
        <v>#N/A</v>
      </c>
      <c r="C111" s="21" t="e">
        <f t="shared" si="14"/>
        <v>#N/A</v>
      </c>
      <c r="D111" s="22" t="e">
        <f t="shared" si="11"/>
        <v>#N/A</v>
      </c>
      <c r="E111" s="22" t="e">
        <f t="shared" si="15"/>
        <v>#N/A</v>
      </c>
      <c r="F111" s="23" t="e">
        <f t="shared" si="12"/>
        <v>#N/A</v>
      </c>
      <c r="G111" s="23" t="e">
        <f>SUM(F111:F$127)</f>
        <v>#N/A</v>
      </c>
      <c r="H111" s="23" t="e">
        <f>SUM(G111:$G$127)</f>
        <v>#N/A</v>
      </c>
      <c r="I111" s="23" t="e">
        <f t="shared" si="13"/>
        <v>#N/A</v>
      </c>
      <c r="J111" s="23" t="e">
        <f>SUM(I111:I$127)</f>
        <v>#N/A</v>
      </c>
      <c r="K111" s="23" t="e">
        <f>SUM(J111:J$127)</f>
        <v>#N/A</v>
      </c>
      <c r="L111" s="24" t="e">
        <f t="shared" si="9"/>
        <v>#N/A</v>
      </c>
    </row>
    <row r="112" spans="1:12" x14ac:dyDescent="0.25">
      <c r="A112" s="20">
        <f t="shared" si="10"/>
        <v>106</v>
      </c>
      <c r="B112" s="21" t="e">
        <f>VLOOKUP(A112,'qx''ler'!$1:$1048576,MATCH(komutasyon_tablo!$A$3,'qx''ler'!$1:$1,0),FALSE)</f>
        <v>#N/A</v>
      </c>
      <c r="C112" s="21" t="e">
        <f t="shared" si="14"/>
        <v>#N/A</v>
      </c>
      <c r="D112" s="22" t="e">
        <f t="shared" si="11"/>
        <v>#N/A</v>
      </c>
      <c r="E112" s="22" t="e">
        <f t="shared" si="15"/>
        <v>#N/A</v>
      </c>
      <c r="F112" s="23" t="e">
        <f t="shared" si="12"/>
        <v>#N/A</v>
      </c>
      <c r="G112" s="23" t="e">
        <f>SUM(F112:F$127)</f>
        <v>#N/A</v>
      </c>
      <c r="H112" s="23" t="e">
        <f>SUM(G112:$G$127)</f>
        <v>#N/A</v>
      </c>
      <c r="I112" s="23" t="e">
        <f t="shared" si="13"/>
        <v>#N/A</v>
      </c>
      <c r="J112" s="23" t="e">
        <f>SUM(I112:I$127)</f>
        <v>#N/A</v>
      </c>
      <c r="K112" s="23" t="e">
        <f>SUM(J112:J$127)</f>
        <v>#N/A</v>
      </c>
      <c r="L112" s="24" t="e">
        <f t="shared" si="9"/>
        <v>#N/A</v>
      </c>
    </row>
    <row r="113" spans="1:12" x14ac:dyDescent="0.25">
      <c r="A113" s="20">
        <f t="shared" si="10"/>
        <v>107</v>
      </c>
      <c r="B113" s="21" t="e">
        <f>VLOOKUP(A113,'qx''ler'!$1:$1048576,MATCH(komutasyon_tablo!$A$3,'qx''ler'!$1:$1,0),FALSE)</f>
        <v>#N/A</v>
      </c>
      <c r="C113" s="21" t="e">
        <f t="shared" si="14"/>
        <v>#N/A</v>
      </c>
      <c r="D113" s="22" t="e">
        <f t="shared" si="11"/>
        <v>#N/A</v>
      </c>
      <c r="E113" s="22" t="e">
        <f t="shared" si="15"/>
        <v>#N/A</v>
      </c>
      <c r="F113" s="23" t="e">
        <f t="shared" si="12"/>
        <v>#N/A</v>
      </c>
      <c r="G113" s="23" t="e">
        <f>SUM(F113:F$127)</f>
        <v>#N/A</v>
      </c>
      <c r="H113" s="23" t="e">
        <f>SUM(G113:$G$127)</f>
        <v>#N/A</v>
      </c>
      <c r="I113" s="23" t="e">
        <f t="shared" si="13"/>
        <v>#N/A</v>
      </c>
      <c r="J113" s="23" t="e">
        <f>SUM(I113:I$127)</f>
        <v>#N/A</v>
      </c>
      <c r="K113" s="23" t="e">
        <f>SUM(J113:J$127)</f>
        <v>#N/A</v>
      </c>
      <c r="L113" s="24" t="e">
        <f t="shared" si="9"/>
        <v>#N/A</v>
      </c>
    </row>
    <row r="114" spans="1:12" x14ac:dyDescent="0.25">
      <c r="A114" s="20">
        <f t="shared" si="10"/>
        <v>108</v>
      </c>
      <c r="B114" s="21" t="e">
        <f>VLOOKUP(A114,'qx''ler'!$1:$1048576,MATCH(komutasyon_tablo!$A$3,'qx''ler'!$1:$1,0),FALSE)</f>
        <v>#N/A</v>
      </c>
      <c r="C114" s="21" t="e">
        <f t="shared" si="14"/>
        <v>#N/A</v>
      </c>
      <c r="D114" s="22" t="e">
        <f t="shared" si="11"/>
        <v>#N/A</v>
      </c>
      <c r="E114" s="22" t="e">
        <f t="shared" si="15"/>
        <v>#N/A</v>
      </c>
      <c r="F114" s="23" t="e">
        <f t="shared" si="12"/>
        <v>#N/A</v>
      </c>
      <c r="G114" s="23" t="e">
        <f>SUM(F114:F$127)</f>
        <v>#N/A</v>
      </c>
      <c r="H114" s="23" t="e">
        <f>SUM(G114:$G$127)</f>
        <v>#N/A</v>
      </c>
      <c r="I114" s="23" t="e">
        <f t="shared" si="13"/>
        <v>#N/A</v>
      </c>
      <c r="J114" s="23" t="e">
        <f>SUM(I114:I$127)</f>
        <v>#N/A</v>
      </c>
      <c r="K114" s="23" t="e">
        <f>SUM(J114:J$127)</f>
        <v>#N/A</v>
      </c>
      <c r="L114" s="24" t="e">
        <f t="shared" si="9"/>
        <v>#N/A</v>
      </c>
    </row>
    <row r="115" spans="1:12" x14ac:dyDescent="0.25">
      <c r="A115" s="20">
        <f t="shared" si="10"/>
        <v>109</v>
      </c>
      <c r="B115" s="21" t="e">
        <f>VLOOKUP(A115,'qx''ler'!$1:$1048576,MATCH(komutasyon_tablo!$A$3,'qx''ler'!$1:$1,0),FALSE)</f>
        <v>#N/A</v>
      </c>
      <c r="C115" s="21" t="e">
        <f t="shared" si="14"/>
        <v>#N/A</v>
      </c>
      <c r="D115" s="22" t="e">
        <f t="shared" si="11"/>
        <v>#N/A</v>
      </c>
      <c r="E115" s="22" t="e">
        <f t="shared" si="15"/>
        <v>#N/A</v>
      </c>
      <c r="F115" s="23" t="e">
        <f t="shared" si="12"/>
        <v>#N/A</v>
      </c>
      <c r="G115" s="23" t="e">
        <f>SUM(F115:F$127)</f>
        <v>#N/A</v>
      </c>
      <c r="H115" s="23" t="e">
        <f>SUM(G115:$G$127)</f>
        <v>#N/A</v>
      </c>
      <c r="I115" s="23" t="e">
        <f t="shared" si="13"/>
        <v>#N/A</v>
      </c>
      <c r="J115" s="23" t="e">
        <f>SUM(I115:I$127)</f>
        <v>#N/A</v>
      </c>
      <c r="K115" s="23" t="e">
        <f>SUM(J115:J$127)</f>
        <v>#N/A</v>
      </c>
      <c r="L115" s="24" t="e">
        <f t="shared" si="9"/>
        <v>#N/A</v>
      </c>
    </row>
    <row r="116" spans="1:12" x14ac:dyDescent="0.25">
      <c r="A116" s="20">
        <f t="shared" si="10"/>
        <v>110</v>
      </c>
      <c r="B116" s="21" t="e">
        <f>VLOOKUP(A116,'qx''ler'!$1:$1048576,MATCH(komutasyon_tablo!$A$3,'qx''ler'!$1:$1,0),FALSE)</f>
        <v>#N/A</v>
      </c>
      <c r="C116" s="21" t="e">
        <f t="shared" si="14"/>
        <v>#N/A</v>
      </c>
      <c r="D116" s="22" t="e">
        <f t="shared" si="11"/>
        <v>#N/A</v>
      </c>
      <c r="E116" s="22" t="e">
        <f t="shared" si="15"/>
        <v>#N/A</v>
      </c>
      <c r="F116" s="23" t="e">
        <f t="shared" si="12"/>
        <v>#N/A</v>
      </c>
      <c r="G116" s="23" t="e">
        <f>SUM(F116:F$127)</f>
        <v>#N/A</v>
      </c>
      <c r="H116" s="23" t="e">
        <f>SUM(G116:$G$127)</f>
        <v>#N/A</v>
      </c>
      <c r="I116" s="23" t="e">
        <f t="shared" si="13"/>
        <v>#N/A</v>
      </c>
      <c r="J116" s="23" t="e">
        <f>SUM(I116:I$127)</f>
        <v>#N/A</v>
      </c>
      <c r="K116" s="23" t="e">
        <f>SUM(J116:J$127)</f>
        <v>#N/A</v>
      </c>
      <c r="L116" s="24" t="e">
        <f t="shared" si="9"/>
        <v>#N/A</v>
      </c>
    </row>
    <row r="117" spans="1:12" x14ac:dyDescent="0.25">
      <c r="A117" s="20">
        <f t="shared" si="10"/>
        <v>111</v>
      </c>
      <c r="B117" s="21" t="e">
        <f>VLOOKUP(A117,'qx''ler'!$1:$1048576,MATCH(komutasyon_tablo!$A$3,'qx''ler'!$1:$1,0),FALSE)</f>
        <v>#N/A</v>
      </c>
      <c r="C117" s="21" t="e">
        <f t="shared" si="14"/>
        <v>#N/A</v>
      </c>
      <c r="D117" s="22" t="e">
        <f t="shared" si="11"/>
        <v>#N/A</v>
      </c>
      <c r="E117" s="22" t="e">
        <f t="shared" si="15"/>
        <v>#N/A</v>
      </c>
      <c r="F117" s="23" t="e">
        <f t="shared" si="12"/>
        <v>#N/A</v>
      </c>
      <c r="G117" s="23" t="e">
        <f>SUM(F117:F$127)</f>
        <v>#N/A</v>
      </c>
      <c r="H117" s="23" t="e">
        <f>SUM(G117:$G$127)</f>
        <v>#N/A</v>
      </c>
      <c r="I117" s="23" t="e">
        <f t="shared" si="13"/>
        <v>#N/A</v>
      </c>
      <c r="J117" s="23" t="e">
        <f>SUM(I117:I$127)</f>
        <v>#N/A</v>
      </c>
      <c r="K117" s="23" t="e">
        <f>SUM(J117:J$127)</f>
        <v>#N/A</v>
      </c>
      <c r="L117" s="24" t="e">
        <f t="shared" si="9"/>
        <v>#N/A</v>
      </c>
    </row>
    <row r="118" spans="1:12" x14ac:dyDescent="0.25">
      <c r="A118" s="20">
        <f t="shared" si="10"/>
        <v>112</v>
      </c>
      <c r="B118" s="21" t="e">
        <f>VLOOKUP(A118,'qx''ler'!$1:$1048576,MATCH(komutasyon_tablo!$A$3,'qx''ler'!$1:$1,0),FALSE)</f>
        <v>#N/A</v>
      </c>
      <c r="C118" s="21" t="e">
        <f t="shared" si="14"/>
        <v>#N/A</v>
      </c>
      <c r="D118" s="22" t="e">
        <f t="shared" si="11"/>
        <v>#N/A</v>
      </c>
      <c r="E118" s="22" t="e">
        <f t="shared" si="15"/>
        <v>#N/A</v>
      </c>
      <c r="F118" s="23" t="e">
        <f t="shared" si="12"/>
        <v>#N/A</v>
      </c>
      <c r="G118" s="23" t="e">
        <f>SUM(F118:F$127)</f>
        <v>#N/A</v>
      </c>
      <c r="H118" s="23" t="e">
        <f>SUM(G118:$G$127)</f>
        <v>#N/A</v>
      </c>
      <c r="I118" s="23" t="e">
        <f t="shared" si="13"/>
        <v>#N/A</v>
      </c>
      <c r="J118" s="23" t="e">
        <f>SUM(I118:I$127)</f>
        <v>#N/A</v>
      </c>
      <c r="K118" s="23" t="e">
        <f>SUM(J118:J$127)</f>
        <v>#N/A</v>
      </c>
      <c r="L118" s="24" t="e">
        <f t="shared" si="9"/>
        <v>#N/A</v>
      </c>
    </row>
    <row r="119" spans="1:12" x14ac:dyDescent="0.25">
      <c r="A119" s="20">
        <f t="shared" si="10"/>
        <v>113</v>
      </c>
      <c r="B119" s="21" t="e">
        <f>VLOOKUP(A119,'qx''ler'!$1:$1048576,MATCH(komutasyon_tablo!$A$3,'qx''ler'!$1:$1,0),FALSE)</f>
        <v>#N/A</v>
      </c>
      <c r="C119" s="21" t="e">
        <f t="shared" si="14"/>
        <v>#N/A</v>
      </c>
      <c r="D119" s="22" t="e">
        <f t="shared" si="11"/>
        <v>#N/A</v>
      </c>
      <c r="E119" s="22" t="e">
        <f t="shared" si="15"/>
        <v>#N/A</v>
      </c>
      <c r="F119" s="23" t="e">
        <f t="shared" si="12"/>
        <v>#N/A</v>
      </c>
      <c r="G119" s="23" t="e">
        <f>SUM(F119:F$127)</f>
        <v>#N/A</v>
      </c>
      <c r="H119" s="23" t="e">
        <f>SUM(G119:$G$127)</f>
        <v>#N/A</v>
      </c>
      <c r="I119" s="23" t="e">
        <f t="shared" si="13"/>
        <v>#N/A</v>
      </c>
      <c r="J119" s="23" t="e">
        <f>SUM(I119:I$127)</f>
        <v>#N/A</v>
      </c>
      <c r="K119" s="23" t="e">
        <f>SUM(J119:J$127)</f>
        <v>#N/A</v>
      </c>
      <c r="L119" s="24" t="e">
        <f t="shared" si="9"/>
        <v>#N/A</v>
      </c>
    </row>
    <row r="120" spans="1:12" x14ac:dyDescent="0.25">
      <c r="A120" s="20">
        <f t="shared" si="10"/>
        <v>114</v>
      </c>
      <c r="B120" s="21" t="e">
        <f>VLOOKUP(A120,'qx''ler'!$1:$1048576,MATCH(komutasyon_tablo!$A$3,'qx''ler'!$1:$1,0),FALSE)</f>
        <v>#N/A</v>
      </c>
      <c r="C120" s="21" t="e">
        <f t="shared" si="14"/>
        <v>#N/A</v>
      </c>
      <c r="D120" s="22" t="e">
        <f t="shared" si="11"/>
        <v>#N/A</v>
      </c>
      <c r="E120" s="22" t="e">
        <f t="shared" si="15"/>
        <v>#N/A</v>
      </c>
      <c r="F120" s="23" t="e">
        <f t="shared" si="12"/>
        <v>#N/A</v>
      </c>
      <c r="G120" s="23" t="e">
        <f>SUM(F120:F$127)</f>
        <v>#N/A</v>
      </c>
      <c r="H120" s="23" t="e">
        <f>SUM(G120:$G$127)</f>
        <v>#N/A</v>
      </c>
      <c r="I120" s="23" t="e">
        <f t="shared" si="13"/>
        <v>#N/A</v>
      </c>
      <c r="J120" s="23" t="e">
        <f>SUM(I120:I$127)</f>
        <v>#N/A</v>
      </c>
      <c r="K120" s="23" t="e">
        <f>SUM(J120:J$127)</f>
        <v>#N/A</v>
      </c>
      <c r="L120" s="24" t="e">
        <f t="shared" si="9"/>
        <v>#N/A</v>
      </c>
    </row>
    <row r="121" spans="1:12" x14ac:dyDescent="0.25">
      <c r="A121" s="20">
        <f t="shared" si="10"/>
        <v>115</v>
      </c>
      <c r="B121" s="21" t="e">
        <f>VLOOKUP(A121,'qx''ler'!$1:$1048576,MATCH(komutasyon_tablo!$A$3,'qx''ler'!$1:$1,0),FALSE)</f>
        <v>#N/A</v>
      </c>
      <c r="C121" s="21" t="e">
        <f t="shared" si="14"/>
        <v>#N/A</v>
      </c>
      <c r="D121" s="22" t="e">
        <f t="shared" si="11"/>
        <v>#N/A</v>
      </c>
      <c r="E121" s="22" t="e">
        <f t="shared" si="15"/>
        <v>#N/A</v>
      </c>
      <c r="F121" s="23" t="e">
        <f t="shared" si="12"/>
        <v>#N/A</v>
      </c>
      <c r="G121" s="23" t="e">
        <f>SUM(F121:F$127)</f>
        <v>#N/A</v>
      </c>
      <c r="H121" s="23" t="e">
        <f>SUM(G121:$G$127)</f>
        <v>#N/A</v>
      </c>
      <c r="I121" s="23" t="e">
        <f t="shared" si="13"/>
        <v>#N/A</v>
      </c>
      <c r="J121" s="23" t="e">
        <f>SUM(I121:I$127)</f>
        <v>#N/A</v>
      </c>
      <c r="K121" s="23" t="e">
        <f>SUM(J121:J$127)</f>
        <v>#N/A</v>
      </c>
      <c r="L121" s="24" t="e">
        <f t="shared" si="9"/>
        <v>#N/A</v>
      </c>
    </row>
    <row r="122" spans="1:12" x14ac:dyDescent="0.25">
      <c r="A122" s="20">
        <f t="shared" si="10"/>
        <v>116</v>
      </c>
      <c r="B122" s="21" t="e">
        <f>VLOOKUP(A122,'qx''ler'!$1:$1048576,MATCH(komutasyon_tablo!$A$3,'qx''ler'!$1:$1,0),FALSE)</f>
        <v>#N/A</v>
      </c>
      <c r="C122" s="21" t="e">
        <f t="shared" si="14"/>
        <v>#N/A</v>
      </c>
      <c r="D122" s="22" t="e">
        <f t="shared" si="11"/>
        <v>#N/A</v>
      </c>
      <c r="E122" s="22" t="e">
        <f t="shared" si="15"/>
        <v>#N/A</v>
      </c>
      <c r="F122" s="23" t="e">
        <f t="shared" si="12"/>
        <v>#N/A</v>
      </c>
      <c r="G122" s="23" t="e">
        <f>SUM(F122:F$127)</f>
        <v>#N/A</v>
      </c>
      <c r="H122" s="23" t="e">
        <f>SUM(G122:$G$127)</f>
        <v>#N/A</v>
      </c>
      <c r="I122" s="23" t="e">
        <f t="shared" si="13"/>
        <v>#N/A</v>
      </c>
      <c r="J122" s="23" t="e">
        <f>SUM(I122:I$127)</f>
        <v>#N/A</v>
      </c>
      <c r="K122" s="23" t="e">
        <f>SUM(J122:J$127)</f>
        <v>#N/A</v>
      </c>
      <c r="L122" s="24" t="e">
        <f t="shared" si="9"/>
        <v>#N/A</v>
      </c>
    </row>
    <row r="123" spans="1:12" x14ac:dyDescent="0.25">
      <c r="A123" s="20">
        <f t="shared" si="10"/>
        <v>117</v>
      </c>
      <c r="B123" s="21" t="e">
        <f>VLOOKUP(A123,'qx''ler'!$1:$1048576,MATCH(komutasyon_tablo!$A$3,'qx''ler'!$1:$1,0),FALSE)</f>
        <v>#N/A</v>
      </c>
      <c r="C123" s="21" t="e">
        <f>1-B123</f>
        <v>#N/A</v>
      </c>
      <c r="D123" s="22" t="e">
        <f t="shared" si="11"/>
        <v>#N/A</v>
      </c>
      <c r="E123" s="22" t="e">
        <f>D123*B123</f>
        <v>#N/A</v>
      </c>
      <c r="F123" s="23" t="e">
        <f t="shared" si="12"/>
        <v>#N/A</v>
      </c>
      <c r="G123" s="23" t="e">
        <f>SUM(F123:F$127)</f>
        <v>#N/A</v>
      </c>
      <c r="H123" s="23" t="e">
        <f>SUM(G123:$G$127)</f>
        <v>#N/A</v>
      </c>
      <c r="I123" s="23" t="e">
        <f t="shared" si="13"/>
        <v>#N/A</v>
      </c>
      <c r="J123" s="23" t="e">
        <f>SUM(I123:I$127)</f>
        <v>#N/A</v>
      </c>
      <c r="K123" s="23" t="e">
        <f>SUM(J123:J$127)</f>
        <v>#N/A</v>
      </c>
      <c r="L123" s="24" t="e">
        <f t="shared" si="9"/>
        <v>#N/A</v>
      </c>
    </row>
    <row r="124" spans="1:12" x14ac:dyDescent="0.25">
      <c r="A124" s="20">
        <f t="shared" si="10"/>
        <v>118</v>
      </c>
      <c r="B124" s="21" t="e">
        <f>VLOOKUP(A124,'qx''ler'!$1:$1048576,MATCH(komutasyon_tablo!$A$3,'qx''ler'!$1:$1,0),FALSE)</f>
        <v>#N/A</v>
      </c>
      <c r="C124" s="21" t="e">
        <f t="shared" si="14"/>
        <v>#N/A</v>
      </c>
      <c r="D124" s="22" t="e">
        <f t="shared" si="11"/>
        <v>#N/A</v>
      </c>
      <c r="E124" s="22" t="e">
        <f t="shared" ref="E124:E127" si="16">D124*B124</f>
        <v>#N/A</v>
      </c>
      <c r="F124" s="23" t="e">
        <f t="shared" si="12"/>
        <v>#N/A</v>
      </c>
      <c r="G124" s="23" t="e">
        <f>SUM(F124:F$127)</f>
        <v>#N/A</v>
      </c>
      <c r="H124" s="23" t="e">
        <f>SUM(G124:$G$127)</f>
        <v>#N/A</v>
      </c>
      <c r="I124" s="23" t="e">
        <f t="shared" si="13"/>
        <v>#N/A</v>
      </c>
      <c r="J124" s="23" t="e">
        <f>SUM(I124:I$127)</f>
        <v>#N/A</v>
      </c>
      <c r="K124" s="23" t="e">
        <f>SUM(J124:J$127)</f>
        <v>#N/A</v>
      </c>
      <c r="L124" s="24" t="e">
        <f t="shared" si="9"/>
        <v>#N/A</v>
      </c>
    </row>
    <row r="125" spans="1:12" x14ac:dyDescent="0.25">
      <c r="A125" s="20">
        <f t="shared" si="10"/>
        <v>119</v>
      </c>
      <c r="B125" s="21" t="e">
        <f>VLOOKUP(A125,'qx''ler'!$1:$1048576,MATCH(komutasyon_tablo!$A$3,'qx''ler'!$1:$1,0),FALSE)</f>
        <v>#N/A</v>
      </c>
      <c r="C125" s="21" t="e">
        <f t="shared" si="14"/>
        <v>#N/A</v>
      </c>
      <c r="D125" s="22" t="e">
        <f t="shared" si="11"/>
        <v>#N/A</v>
      </c>
      <c r="E125" s="22" t="e">
        <f t="shared" si="16"/>
        <v>#N/A</v>
      </c>
      <c r="F125" s="23" t="e">
        <f t="shared" si="12"/>
        <v>#N/A</v>
      </c>
      <c r="G125" s="23" t="e">
        <f>SUM(F125:F$127)</f>
        <v>#N/A</v>
      </c>
      <c r="H125" s="23" t="e">
        <f>SUM(G125:$G$127)</f>
        <v>#N/A</v>
      </c>
      <c r="I125" s="23" t="e">
        <f t="shared" si="13"/>
        <v>#N/A</v>
      </c>
      <c r="J125" s="23" t="e">
        <f>SUM(I125:I$127)</f>
        <v>#N/A</v>
      </c>
      <c r="K125" s="23" t="e">
        <f>SUM(J125:J$127)</f>
        <v>#N/A</v>
      </c>
      <c r="L125" s="24" t="e">
        <f t="shared" si="9"/>
        <v>#N/A</v>
      </c>
    </row>
    <row r="126" spans="1:12" x14ac:dyDescent="0.25">
      <c r="A126" s="20">
        <f t="shared" si="10"/>
        <v>120</v>
      </c>
      <c r="B126" s="21" t="e">
        <f>VLOOKUP(A126,'qx''ler'!$1:$1048576,MATCH(komutasyon_tablo!$A$3,'qx''ler'!$1:$1,0),FALSE)</f>
        <v>#N/A</v>
      </c>
      <c r="C126" s="21" t="e">
        <f t="shared" si="14"/>
        <v>#N/A</v>
      </c>
      <c r="D126" s="22" t="e">
        <f t="shared" si="11"/>
        <v>#N/A</v>
      </c>
      <c r="E126" s="22" t="e">
        <f t="shared" si="16"/>
        <v>#N/A</v>
      </c>
      <c r="F126" s="23" t="e">
        <f t="shared" si="12"/>
        <v>#N/A</v>
      </c>
      <c r="G126" s="23" t="e">
        <f>SUM(F126:F$127)</f>
        <v>#N/A</v>
      </c>
      <c r="H126" s="23" t="e">
        <f>SUM(G126:$G$127)</f>
        <v>#N/A</v>
      </c>
      <c r="I126" s="23" t="e">
        <f t="shared" si="13"/>
        <v>#N/A</v>
      </c>
      <c r="J126" s="23" t="e">
        <f>SUM(I126:I$127)</f>
        <v>#N/A</v>
      </c>
      <c r="K126" s="23" t="e">
        <f>SUM(J126:J$127)</f>
        <v>#N/A</v>
      </c>
      <c r="L126" s="24" t="e">
        <f t="shared" si="9"/>
        <v>#N/A</v>
      </c>
    </row>
    <row r="127" spans="1:12" x14ac:dyDescent="0.25">
      <c r="A127" s="20">
        <f t="shared" si="10"/>
        <v>121</v>
      </c>
      <c r="B127" s="21" t="e">
        <f>VLOOKUP(A127,'qx''ler'!$1:$1048576,MATCH(komutasyon_tablo!$A$3,'qx''ler'!$1:$1,0),FALSE)</f>
        <v>#N/A</v>
      </c>
      <c r="C127" s="21" t="e">
        <f t="shared" si="14"/>
        <v>#N/A</v>
      </c>
      <c r="D127" s="22" t="e">
        <f t="shared" si="11"/>
        <v>#N/A</v>
      </c>
      <c r="E127" s="22" t="e">
        <f t="shared" si="16"/>
        <v>#N/A</v>
      </c>
      <c r="F127" s="23" t="e">
        <f t="shared" si="12"/>
        <v>#N/A</v>
      </c>
      <c r="G127" s="23" t="e">
        <f>SUM(F127:F$127)</f>
        <v>#N/A</v>
      </c>
      <c r="H127" s="23" t="e">
        <f>SUM(G127:$G$127)</f>
        <v>#N/A</v>
      </c>
      <c r="I127" s="23" t="e">
        <f t="shared" si="13"/>
        <v>#N/A</v>
      </c>
      <c r="J127" s="23" t="e">
        <f>SUM(I127:I$127)</f>
        <v>#N/A</v>
      </c>
      <c r="K127" s="23" t="e">
        <f>SUM(J127:J$127)</f>
        <v>#N/A</v>
      </c>
      <c r="L127" s="24" t="e">
        <f t="shared" si="9"/>
        <v>#N/A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2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97FC03-1899-49CA-9C34-D74093FAFE09}">
  <ds:schemaRefs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f29dd610-4296-4b97-95da-bd9fb6eed76b"/>
    <ds:schemaRef ds:uri="http://purl.org/dc/terms/"/>
    <ds:schemaRef ds:uri="http://schemas.microsoft.com/office/infopath/2007/PartnerControls"/>
    <ds:schemaRef ds:uri="http://schemas.microsoft.com/sharepoint/v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5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2018-10-15T12:44:43Z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4f842861-75ca-4edb-9670-2e371a2c6662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